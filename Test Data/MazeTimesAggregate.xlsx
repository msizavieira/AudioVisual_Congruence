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vieira\Documents\GitHub\AudioVisual_Congruence\Test Data\"/>
    </mc:Choice>
  </mc:AlternateContent>
  <xr:revisionPtr revIDLastSave="0" documentId="13_ncr:1_{2B3ED658-AABC-40CA-8FC5-B594E472A577}" xr6:coauthVersionLast="47" xr6:coauthVersionMax="47" xr10:uidLastSave="{00000000-0000-0000-0000-000000000000}"/>
  <bookViews>
    <workbookView xWindow="-120" yWindow="-120" windowWidth="29040" windowHeight="15720" xr2:uid="{88EF8D1A-6D88-4A3A-B8BA-7B208EC92D85}"/>
  </bookViews>
  <sheets>
    <sheet name="Sheet1" sheetId="1" r:id="rId1"/>
  </sheets>
  <definedNames>
    <definedName name="ExternalData_1" localSheetId="0" hidden="1">Sheet1!$A$1:$F$17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B2" i="1"/>
  <c r="C2" i="1" s="1"/>
  <c r="F9" i="1"/>
  <c r="E9" i="1"/>
  <c r="D9" i="1"/>
  <c r="F17" i="1"/>
  <c r="E17" i="1"/>
  <c r="D17" i="1"/>
  <c r="B4" i="1"/>
  <c r="C4" i="1" s="1"/>
  <c r="B5" i="1"/>
  <c r="C5" i="1" s="1"/>
  <c r="B6" i="1"/>
  <c r="C6" i="1" s="1"/>
  <c r="B7" i="1"/>
  <c r="C7" i="1" s="1"/>
  <c r="B8" i="1"/>
  <c r="C8" i="1" s="1"/>
  <c r="B10" i="1"/>
  <c r="C10" i="1" s="1"/>
  <c r="B11" i="1"/>
  <c r="C11" i="1" s="1"/>
  <c r="B12" i="1"/>
  <c r="B13" i="1"/>
  <c r="C13" i="1" s="1"/>
  <c r="B14" i="1"/>
  <c r="C14" i="1" s="1"/>
  <c r="B15" i="1"/>
  <c r="C15" i="1" s="1"/>
  <c r="B16" i="1"/>
  <c r="C16" i="1" s="1"/>
  <c r="C9" i="1" l="1"/>
  <c r="C17" i="1"/>
  <c r="B9" i="1"/>
  <c r="B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E9ECDF-DA39-4739-A628-D4F85B08672E}" keepAlive="1" name="Query - MazeTimes" description="Connection to the 'MazeTimes' query in the workbook." type="5" refreshedVersion="8" background="1" saveData="1">
    <dbPr connection="Provider=Microsoft.Mashup.OleDb.1;Data Source=$Workbook$;Location=MazeTimes;Extended Properties=&quot;&quot;" command="SELECT * FROM [MazeTimes]"/>
  </connection>
  <connection id="2" xr16:uid="{D4C5254B-E71A-4540-BDE3-172E3E755C1D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D0E404F-AF2A-4D97-9B2A-18B56AB09E3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3BF323C9-F2C5-4EBA-83F5-5587FD5BA997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CB60E53E-794E-4F92-92BD-75D4DB80E191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<sst xmlns="http://schemas.openxmlformats.org/spreadsheetml/2006/main" count="22" uniqueCount="21">
  <si>
    <t>Name</t>
  </si>
  <si>
    <t>FirstCheckpoint</t>
  </si>
  <si>
    <t>LastCheckpoint</t>
  </si>
  <si>
    <t>End</t>
  </si>
  <si>
    <t>CongruentMaze_Time_1.2</t>
  </si>
  <si>
    <t>CongruentMaze_Time_1</t>
  </si>
  <si>
    <t>CongruentMaze_Time_2</t>
  </si>
  <si>
    <t>CongruentMaze_Time_3</t>
  </si>
  <si>
    <t>CongruentMaze_Time_4</t>
  </si>
  <si>
    <t>IncongruentMaze_Time_1</t>
  </si>
  <si>
    <t>IncongruentMaze_Time_2</t>
  </si>
  <si>
    <t>IncongruentMaze_Time_3</t>
  </si>
  <si>
    <t>IncongruentMaze_Time_4</t>
  </si>
  <si>
    <t>CongruentMaze_Time_5</t>
  </si>
  <si>
    <t>CongruentMaze_Time_6</t>
  </si>
  <si>
    <t>IncongruentMaze_Time_5</t>
  </si>
  <si>
    <t>IncongruentMaze_Time_6</t>
  </si>
  <si>
    <t>IncongruentMaze_Time_7</t>
  </si>
  <si>
    <t>FirstToLastCheck</t>
  </si>
  <si>
    <t>Proportion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</si>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</sst>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7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2" borderId="0" xfId="0" applyNumberFormat="1" applyFill="1"/>
    <xf numFmtId="47" fontId="0" fillId="2" borderId="0" xfId="0" applyNumberFormat="1" applyFill="1"/>
    <xf numFmtId="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6">
    <dxf>
      <numFmt numFmtId="2" formatCode="0.00"/>
    </dxf>
    <dxf>
      <numFmt numFmtId="0" formatCode="General"/>
    </dxf>
    <dxf>
      <numFmt numFmtId="29" formatCode="mm:ss.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3191A5-5FDC-4652-816C-938CAF7619E5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5" dataBound="0" tableColumnId="5"/>
      <queryTableField id="6" dataBound="0" tableColumnId="6"/>
      <queryTableField id="2" name="FirstCheckpoint" tableColumnId="2"/>
      <queryTableField id="3" name="LastCheckpoint" tableColumnId="3"/>
      <queryTableField id="4" name="En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7D1EC1-1B57-43FA-8C4D-CDEDE95584CC}" name="MazeTimes" displayName="MazeTimes" ref="A1:F17" tableType="queryTable" totalsRowShown="0">
  <autoFilter ref="A1:F17" xr:uid="{AF7D1EC1-1B57-43FA-8C4D-CDEDE95584CC}"/>
  <tableColumns count="6">
    <tableColumn id="1" xr3:uid="{00F14DE7-4EA6-45DB-B0E0-113AC232F92D}" uniqueName="1" name="Name" queryTableFieldId="1" dataDxfId="5"/>
    <tableColumn id="5" xr3:uid="{B0DF2101-DAD6-4986-A461-F53AC250EE98}" uniqueName="5" name="FirstToLastCheck" queryTableFieldId="5" dataDxfId="2">
      <calculatedColumnFormula>MazeTimes[[#This Row],[LastCheckpoint]]-MazeTimes[[#This Row],[FirstCheckpoint]]</calculatedColumnFormula>
    </tableColumn>
    <tableColumn id="6" xr3:uid="{B76C615E-EEAD-4CA2-8B49-F0B2AB6D92E7}" uniqueName="6" name="Proportion" queryTableFieldId="6" dataDxfId="0">
      <calculatedColumnFormula>MazeTimes[[#This Row],[FirstToLastCheck]]/MazeTimes[[#This Row],[End]]</calculatedColumnFormula>
    </tableColumn>
    <tableColumn id="2" xr3:uid="{8CBB948E-A2DC-4F88-9E4C-54E71CE5912D}" uniqueName="2" name="FirstCheckpoint" queryTableFieldId="2" dataDxfId="1"/>
    <tableColumn id="3" xr3:uid="{3C9BB642-DB1A-452B-A71E-5413DBA03C61}" uniqueName="3" name="LastCheckpoint" queryTableFieldId="3" dataDxfId="4"/>
    <tableColumn id="4" xr3:uid="{64DBC3C2-EADD-40F7-AFA7-15BF24EE35B2}" uniqueName="4" name="End" queryTableFieldId="4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83BD-F147-4093-9834-D8E30ABC0490}">
  <dimension ref="A1:F17"/>
  <sheetViews>
    <sheetView tabSelected="1" workbookViewId="0"/>
  </sheetViews>
  <sheetFormatPr defaultRowHeight="15" x14ac:dyDescent="0.25"/>
  <cols>
    <col min="1" max="1" width="23.5703125" bestFit="1" customWidth="1"/>
    <col min="2" max="2" width="19" bestFit="1" customWidth="1"/>
    <col min="3" max="3" width="19" customWidth="1"/>
    <col min="4" max="4" width="17.85546875" bestFit="1" customWidth="1"/>
    <col min="5" max="5" width="17.5703125" bestFit="1" customWidth="1"/>
    <col min="6" max="6" width="12.140625" bestFit="1" customWidth="1"/>
  </cols>
  <sheetData>
    <row r="1" spans="1:6" x14ac:dyDescent="0.25">
      <c r="A1" t="s">
        <v>0</v>
      </c>
      <c r="B1" t="s">
        <v>18</v>
      </c>
      <c r="C1" t="s">
        <v>19</v>
      </c>
      <c r="D1" t="s">
        <v>1</v>
      </c>
      <c r="E1" t="s">
        <v>2</v>
      </c>
      <c r="F1" t="s">
        <v>3</v>
      </c>
    </row>
    <row r="2" spans="1:6" x14ac:dyDescent="0.25">
      <c r="A2" t="s">
        <v>4</v>
      </c>
      <c r="B2" s="1">
        <f>MazeTimes[[#This Row],[LastCheckpoint]]-MazeTimes[[#This Row],[FirstCheckpoint]]</f>
        <v>2.8434375E-3</v>
      </c>
      <c r="C2" s="2">
        <f>MazeTimes[[#This Row],[FirstToLastCheck]]/MazeTimes[[#This Row],[End]]</f>
        <v>0.61817902741222008</v>
      </c>
      <c r="D2" s="1">
        <v>1.3501273148148149E-3</v>
      </c>
      <c r="E2" s="1">
        <v>4.1935648148148149E-3</v>
      </c>
      <c r="F2" s="1">
        <v>4.5996990740740738E-3</v>
      </c>
    </row>
    <row r="3" spans="1:6" x14ac:dyDescent="0.25">
      <c r="A3" t="s">
        <v>5</v>
      </c>
      <c r="B3" s="1">
        <f>MazeTimes[[#This Row],[LastCheckpoint]]-MazeTimes[[#This Row],[FirstCheckpoint]]</f>
        <v>1.2961458333333334E-3</v>
      </c>
      <c r="C3" s="2">
        <f>MazeTimes[[#This Row],[FirstToLastCheck]]/MazeTimes[[#This Row],[End]]</f>
        <v>0.29805734543799556</v>
      </c>
      <c r="D3" s="1">
        <v>1.3668287037037037E-3</v>
      </c>
      <c r="E3" s="1">
        <v>2.662974537037037E-3</v>
      </c>
      <c r="F3" s="1">
        <v>4.3486458333333337E-3</v>
      </c>
    </row>
    <row r="4" spans="1:6" x14ac:dyDescent="0.25">
      <c r="A4" t="s">
        <v>6</v>
      </c>
      <c r="B4" s="1">
        <f>MazeTimes[[#This Row],[LastCheckpoint]]-MazeTimes[[#This Row],[FirstCheckpoint]]</f>
        <v>1.3517361111111113E-3</v>
      </c>
      <c r="C4" s="2">
        <f>MazeTimes[[#This Row],[FirstToLastCheck]]/MazeTimes[[#This Row],[End]]</f>
        <v>0.24402372748907758</v>
      </c>
      <c r="D4" s="1">
        <v>8.2538194444444445E-4</v>
      </c>
      <c r="E4" s="1">
        <v>2.1771180555555558E-3</v>
      </c>
      <c r="F4" s="1">
        <v>5.5393634259259259E-3</v>
      </c>
    </row>
    <row r="5" spans="1:6" x14ac:dyDescent="0.25">
      <c r="A5" t="s">
        <v>7</v>
      </c>
      <c r="B5" s="1">
        <f>MazeTimes[[#This Row],[LastCheckpoint]]-MazeTimes[[#This Row],[FirstCheckpoint]]</f>
        <v>2.202430555555556E-3</v>
      </c>
      <c r="C5" s="2">
        <f>MazeTimes[[#This Row],[FirstToLastCheck]]/MazeTimes[[#This Row],[End]]</f>
        <v>0.40272674940317976</v>
      </c>
      <c r="D5" s="1">
        <v>2.0255787037037035E-3</v>
      </c>
      <c r="E5" s="1">
        <v>4.2280092592592595E-3</v>
      </c>
      <c r="F5" s="1">
        <v>5.4687962962962963E-3</v>
      </c>
    </row>
    <row r="6" spans="1:6" x14ac:dyDescent="0.25">
      <c r="A6" t="s">
        <v>8</v>
      </c>
      <c r="B6" s="1">
        <f>MazeTimes[[#This Row],[LastCheckpoint]]-MazeTimes[[#This Row],[FirstCheckpoint]]</f>
        <v>1.0824421296296296E-3</v>
      </c>
      <c r="C6" s="2">
        <f>MazeTimes[[#This Row],[FirstToLastCheck]]/MazeTimes[[#This Row],[End]]</f>
        <v>0.40595808591172688</v>
      </c>
      <c r="D6" s="1">
        <v>1.1260763888888889E-3</v>
      </c>
      <c r="E6" s="1">
        <v>2.2085185185185185E-3</v>
      </c>
      <c r="F6" s="1">
        <v>2.6663888888888891E-3</v>
      </c>
    </row>
    <row r="7" spans="1:6" x14ac:dyDescent="0.25">
      <c r="A7" t="s">
        <v>13</v>
      </c>
      <c r="B7" s="1">
        <f>MazeTimes[[#This Row],[LastCheckpoint]]-MazeTimes[[#This Row],[FirstCheckpoint]]</f>
        <v>1.8997106481481482E-3</v>
      </c>
      <c r="C7" s="2">
        <f>MazeTimes[[#This Row],[FirstToLastCheck]]/MazeTimes[[#This Row],[End]]</f>
        <v>0.33457199815729072</v>
      </c>
      <c r="D7" s="1">
        <v>2.1778356481481479E-3</v>
      </c>
      <c r="E7" s="1">
        <v>4.0775462962962961E-3</v>
      </c>
      <c r="F7" s="1">
        <v>5.6780324074074077E-3</v>
      </c>
    </row>
    <row r="8" spans="1:6" x14ac:dyDescent="0.25">
      <c r="A8" t="s">
        <v>14</v>
      </c>
      <c r="B8" s="1">
        <f>MazeTimes[[#This Row],[LastCheckpoint]]-MazeTimes[[#This Row],[FirstCheckpoint]]</f>
        <v>1.8025810185185185E-3</v>
      </c>
      <c r="C8" s="2">
        <f>MazeTimes[[#This Row],[FirstToLastCheck]]/MazeTimes[[#This Row],[End]]</f>
        <v>0.18396551805600836</v>
      </c>
      <c r="D8" s="1">
        <v>4.0419097222222219E-3</v>
      </c>
      <c r="E8" s="1">
        <v>5.8444907407407404E-3</v>
      </c>
      <c r="F8" s="1">
        <v>9.7984722222222223E-3</v>
      </c>
    </row>
    <row r="9" spans="1:6" x14ac:dyDescent="0.25">
      <c r="A9" s="7" t="s">
        <v>20</v>
      </c>
      <c r="B9" s="5">
        <f>AVERAGE(B2:B8)</f>
        <v>1.7826405423280425E-3</v>
      </c>
      <c r="C9" s="6">
        <f>AVERAGE(C2:C8)</f>
        <v>0.35535463598107125</v>
      </c>
      <c r="D9" s="5">
        <f>AVERAGE(D2:D8)</f>
        <v>1.8448197751322754E-3</v>
      </c>
      <c r="E9" s="5">
        <f>AVERAGE(E2:E8)</f>
        <v>3.627460317460317E-3</v>
      </c>
      <c r="F9" s="5">
        <f>AVERAGE(F2:F8)</f>
        <v>5.4427711640211637E-3</v>
      </c>
    </row>
    <row r="10" spans="1:6" x14ac:dyDescent="0.25">
      <c r="A10" t="s">
        <v>9</v>
      </c>
      <c r="B10" s="1">
        <f>MazeTimes[[#This Row],[LastCheckpoint]]-MazeTimes[[#This Row],[FirstCheckpoint]]</f>
        <v>5.3423611111111141E-4</v>
      </c>
      <c r="C10" s="2">
        <f>MazeTimes[[#This Row],[FirstToLastCheck]]/MazeTimes[[#This Row],[End]]</f>
        <v>0.21624533853044259</v>
      </c>
      <c r="D10" s="1">
        <v>1.5899074074074073E-3</v>
      </c>
      <c r="E10" s="1">
        <v>2.1241435185185187E-3</v>
      </c>
      <c r="F10" s="1">
        <v>2.4705092592592591E-3</v>
      </c>
    </row>
    <row r="11" spans="1:6" x14ac:dyDescent="0.25">
      <c r="A11" t="s">
        <v>10</v>
      </c>
      <c r="B11" s="1">
        <f>MazeTimes[[#This Row],[LastCheckpoint]]-MazeTimes[[#This Row],[FirstCheckpoint]]</f>
        <v>2.7686342592592606E-4</v>
      </c>
      <c r="C11" s="2">
        <f>MazeTimes[[#This Row],[FirstToLastCheck]]/MazeTimes[[#This Row],[End]]</f>
        <v>5.7337695801723446E-2</v>
      </c>
      <c r="D11" s="1">
        <v>2.5351736111111109E-3</v>
      </c>
      <c r="E11" s="1">
        <v>2.8120370370370369E-3</v>
      </c>
      <c r="F11" s="1">
        <v>4.8286458333333332E-3</v>
      </c>
    </row>
    <row r="12" spans="1:6" x14ac:dyDescent="0.25">
      <c r="A12" t="s">
        <v>11</v>
      </c>
      <c r="B12" s="1">
        <f>MazeTimes[[#This Row],[LastCheckpoint]]-MazeTimes[[#This Row],[FirstCheckpoint]]</f>
        <v>0</v>
      </c>
      <c r="C12" s="3">
        <v>0</v>
      </c>
      <c r="D12" s="1">
        <v>0</v>
      </c>
      <c r="E12" s="1">
        <v>0</v>
      </c>
      <c r="F12" s="1">
        <v>0</v>
      </c>
    </row>
    <row r="13" spans="1:6" x14ac:dyDescent="0.25">
      <c r="A13" t="s">
        <v>12</v>
      </c>
      <c r="B13" s="1">
        <f>MazeTimes[[#This Row],[LastCheckpoint]]-MazeTimes[[#This Row],[FirstCheckpoint]]</f>
        <v>8.4193287037037049E-4</v>
      </c>
      <c r="C13" s="2">
        <f>MazeTimes[[#This Row],[FirstToLastCheck]]/MazeTimes[[#This Row],[End]]</f>
        <v>7.8764208698137855E-2</v>
      </c>
      <c r="D13" s="1">
        <v>4.5861342592592594E-3</v>
      </c>
      <c r="E13" s="1">
        <v>5.4280671296296299E-3</v>
      </c>
      <c r="F13" s="1">
        <v>1.0689282407407408E-2</v>
      </c>
    </row>
    <row r="14" spans="1:6" x14ac:dyDescent="0.25">
      <c r="A14" t="s">
        <v>15</v>
      </c>
      <c r="B14" s="1">
        <f>MazeTimes[[#This Row],[LastCheckpoint]]-MazeTimes[[#This Row],[FirstCheckpoint]]</f>
        <v>3.6726851851851872E-4</v>
      </c>
      <c r="C14" s="2">
        <f>MazeTimes[[#This Row],[FirstToLastCheck]]/MazeTimes[[#This Row],[End]]</f>
        <v>0.13669926334381605</v>
      </c>
      <c r="D14" s="1">
        <v>1.9182870370370371E-3</v>
      </c>
      <c r="E14" s="1">
        <v>2.2855555555555559E-3</v>
      </c>
      <c r="F14" s="1">
        <v>2.6866898148148149E-3</v>
      </c>
    </row>
    <row r="15" spans="1:6" x14ac:dyDescent="0.25">
      <c r="A15" t="s">
        <v>16</v>
      </c>
      <c r="B15" s="1">
        <f>MazeTimes[[#This Row],[LastCheckpoint]]-MazeTimes[[#This Row],[FirstCheckpoint]]</f>
        <v>6.6192129629629674E-4</v>
      </c>
      <c r="C15" s="2">
        <f>MazeTimes[[#This Row],[FirstToLastCheck]]/MazeTimes[[#This Row],[End]]</f>
        <v>0.16341680858602611</v>
      </c>
      <c r="D15" s="1">
        <v>2.0053935185185183E-3</v>
      </c>
      <c r="E15" s="1">
        <v>2.6673148148148151E-3</v>
      </c>
      <c r="F15" s="1">
        <v>4.0505092592592589E-3</v>
      </c>
    </row>
    <row r="16" spans="1:6" x14ac:dyDescent="0.25">
      <c r="A16" t="s">
        <v>17</v>
      </c>
      <c r="B16" s="1">
        <f>MazeTimes[[#This Row],[LastCheckpoint]]-MazeTimes[[#This Row],[FirstCheckpoint]]</f>
        <v>3.4053240740740723E-4</v>
      </c>
      <c r="C16" s="2">
        <f>MazeTimes[[#This Row],[FirstToLastCheck]]/MazeTimes[[#This Row],[End]]</f>
        <v>0.1449009844914281</v>
      </c>
      <c r="D16" s="1">
        <v>1.185925925925926E-3</v>
      </c>
      <c r="E16" s="1">
        <v>1.5264583333333332E-3</v>
      </c>
      <c r="F16" s="1">
        <v>2.3501041666666666E-3</v>
      </c>
    </row>
    <row r="17" spans="1:6" x14ac:dyDescent="0.25">
      <c r="A17" s="4" t="s">
        <v>20</v>
      </c>
      <c r="B17" s="5">
        <f>AVERAGE(B10:B16)</f>
        <v>4.3182208994709009E-4</v>
      </c>
      <c r="C17" s="6">
        <f>AVERAGE(C10:C16)</f>
        <v>0.11390918563593914</v>
      </c>
      <c r="D17" s="5">
        <f>AVERAGE(D10:D16)</f>
        <v>1.9744031084656085E-3</v>
      </c>
      <c r="E17" s="5">
        <f>AVERAGE(E10:E16)</f>
        <v>2.4062251984126987E-3</v>
      </c>
      <c r="F17" s="5">
        <f>AVERAGE(F10:F16)</f>
        <v>3.8679629629629628E-3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C2A238-5A8D-420D-AAD0-E01C1705D3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Correia Martins Siza Vieira</dc:creator>
  <cp:lastModifiedBy>Manuel Correia Martins Siza Vieira</cp:lastModifiedBy>
  <dcterms:created xsi:type="dcterms:W3CDTF">2025-12-17T03:16:36Z</dcterms:created>
  <dcterms:modified xsi:type="dcterms:W3CDTF">2025-12-18T04:40:49Z</dcterms:modified>
</cp:coreProperties>
</file>