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svieira\Documents\GitHub\AudioVisual_Congruence\Test Data\Questionnaires\"/>
    </mc:Choice>
  </mc:AlternateContent>
  <xr:revisionPtr revIDLastSave="0" documentId="13_ncr:1_{E7DE5414-BA8F-4CA0-A848-DF6F09849E9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state="hidden" r:id="rId2"/>
    <sheet name="OfficeForms Table" sheetId="4" r:id="rId3"/>
    <sheet name="OfficeForms Table Clean" sheetId="3" r:id="rId4"/>
  </sheets>
  <definedNames>
    <definedName name="ExternalData_1" localSheetId="3" hidden="1">'OfficeForms Table Clean'!$A$1:$BN$14</definedName>
    <definedName name="ExternalData_2" localSheetId="2" hidden="1">'OfficeForms Table'!$A$1:$D$32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B17" i="3"/>
  <c r="B18" i="3"/>
  <c r="B19" i="3"/>
  <c r="B20" i="3"/>
  <c r="B21" i="3"/>
  <c r="B22" i="3"/>
  <c r="B23" i="3"/>
  <c r="B24" i="3"/>
  <c r="B25" i="3"/>
  <c r="B26" i="3"/>
  <c r="B27" i="3"/>
  <c r="B28" i="3"/>
  <c r="B16" i="3"/>
  <c r="DJ13" i="1"/>
  <c r="DJ14" i="1"/>
  <c r="DG13" i="1"/>
  <c r="DG14" i="1"/>
  <c r="DB13" i="1"/>
  <c r="DB14" i="1"/>
  <c r="CY13" i="1"/>
  <c r="CY14" i="1"/>
  <c r="CV13" i="1"/>
  <c r="CV14" i="1"/>
  <c r="CS13" i="1"/>
  <c r="CS14" i="1"/>
  <c r="CN13" i="1"/>
  <c r="CN14" i="1"/>
  <c r="CK13" i="1"/>
  <c r="CK14" i="1"/>
  <c r="CH13" i="1"/>
  <c r="CH14" i="1"/>
  <c r="CE13" i="1"/>
  <c r="CE14" i="1"/>
  <c r="BZ13" i="1"/>
  <c r="BZ14" i="1"/>
  <c r="BW13" i="1"/>
  <c r="BW14" i="1"/>
  <c r="BR13" i="1"/>
  <c r="BR14" i="1"/>
  <c r="BO13" i="1"/>
  <c r="BO14" i="1"/>
  <c r="BL13" i="1"/>
  <c r="BL14" i="1"/>
  <c r="BI13" i="1"/>
  <c r="BI14" i="1"/>
  <c r="BF13" i="1"/>
  <c r="BF14" i="1"/>
  <c r="BC13" i="1"/>
  <c r="BC14" i="1"/>
  <c r="AZ13" i="1"/>
  <c r="AZ14" i="1"/>
  <c r="AW13" i="1"/>
  <c r="AW14" i="1"/>
  <c r="AT13" i="1"/>
  <c r="AT14" i="1"/>
  <c r="AQ13" i="1"/>
  <c r="AQ14" i="1"/>
  <c r="AN13" i="1"/>
  <c r="AN14" i="1"/>
  <c r="AK13" i="1"/>
  <c r="AK14" i="1"/>
  <c r="AF13" i="1"/>
  <c r="AF14" i="1"/>
  <c r="AC13" i="1"/>
  <c r="AC14" i="1"/>
  <c r="Z13" i="1"/>
  <c r="Z14" i="1"/>
  <c r="U13" i="1"/>
  <c r="U14" i="1"/>
  <c r="R13" i="1"/>
  <c r="R14" i="1"/>
  <c r="O13" i="1"/>
  <c r="O14" i="1"/>
  <c r="L13" i="1"/>
  <c r="L14" i="1"/>
  <c r="DJ10" i="1"/>
  <c r="DJ11" i="1"/>
  <c r="DJ12" i="1"/>
  <c r="DG10" i="1"/>
  <c r="DG11" i="1"/>
  <c r="DG12" i="1"/>
  <c r="DB10" i="1"/>
  <c r="DB11" i="1"/>
  <c r="DB12" i="1"/>
  <c r="CY10" i="1"/>
  <c r="CY11" i="1"/>
  <c r="CY12" i="1"/>
  <c r="CV10" i="1"/>
  <c r="CV11" i="1"/>
  <c r="CV12" i="1"/>
  <c r="CS10" i="1"/>
  <c r="CS11" i="1"/>
  <c r="CS12" i="1"/>
  <c r="CN10" i="1"/>
  <c r="CN11" i="1"/>
  <c r="CN12" i="1"/>
  <c r="CK10" i="1"/>
  <c r="CK11" i="1"/>
  <c r="CK12" i="1"/>
  <c r="CH10" i="1"/>
  <c r="CH11" i="1"/>
  <c r="CH12" i="1"/>
  <c r="CE10" i="1"/>
  <c r="CE11" i="1"/>
  <c r="CE12" i="1"/>
  <c r="BZ10" i="1"/>
  <c r="BZ11" i="1"/>
  <c r="BZ12" i="1"/>
  <c r="BW10" i="1"/>
  <c r="BW11" i="1"/>
  <c r="BW12" i="1"/>
  <c r="BR10" i="1"/>
  <c r="BR11" i="1"/>
  <c r="BR12" i="1"/>
  <c r="BO10" i="1"/>
  <c r="BO11" i="1"/>
  <c r="BO12" i="1"/>
  <c r="BL10" i="1"/>
  <c r="BL11" i="1"/>
  <c r="BL12" i="1"/>
  <c r="BI10" i="1"/>
  <c r="BI11" i="1"/>
  <c r="BI12" i="1"/>
  <c r="BF10" i="1"/>
  <c r="BF11" i="1"/>
  <c r="BF12" i="1"/>
  <c r="BC10" i="1"/>
  <c r="BC11" i="1"/>
  <c r="BC12" i="1"/>
  <c r="AZ10" i="1"/>
  <c r="AZ11" i="1"/>
  <c r="AZ12" i="1"/>
  <c r="AW10" i="1"/>
  <c r="AW11" i="1"/>
  <c r="AW12" i="1"/>
  <c r="AT10" i="1"/>
  <c r="AT11" i="1"/>
  <c r="AT12" i="1"/>
  <c r="AQ10" i="1"/>
  <c r="AQ11" i="1"/>
  <c r="AQ12" i="1"/>
  <c r="AN10" i="1"/>
  <c r="AN11" i="1"/>
  <c r="AN12" i="1"/>
  <c r="AK10" i="1"/>
  <c r="AK11" i="1"/>
  <c r="AK12" i="1"/>
  <c r="AF10" i="1"/>
  <c r="AF11" i="1"/>
  <c r="AF12" i="1"/>
  <c r="AC10" i="1"/>
  <c r="AC11" i="1"/>
  <c r="AC12" i="1"/>
  <c r="Z10" i="1"/>
  <c r="Z11" i="1"/>
  <c r="Z12" i="1"/>
  <c r="U10" i="1"/>
  <c r="U11" i="1"/>
  <c r="U12" i="1"/>
  <c r="R10" i="1"/>
  <c r="R11" i="1"/>
  <c r="R12" i="1"/>
  <c r="O10" i="1"/>
  <c r="O11" i="1"/>
  <c r="O12" i="1"/>
  <c r="L10" i="1"/>
  <c r="L11" i="1"/>
  <c r="L12" i="1"/>
  <c r="L9" i="1"/>
  <c r="DJ4" i="1"/>
  <c r="DJ2" i="1"/>
  <c r="DJ3" i="1"/>
  <c r="DJ5" i="1"/>
  <c r="DJ6" i="1"/>
  <c r="DJ7" i="1"/>
  <c r="DJ8" i="1"/>
  <c r="DJ9" i="1"/>
  <c r="DG2" i="1"/>
  <c r="DG3" i="1"/>
  <c r="DG4" i="1"/>
  <c r="DG5" i="1"/>
  <c r="DG6" i="1"/>
  <c r="DG7" i="1"/>
  <c r="DG8" i="1"/>
  <c r="DG9" i="1"/>
  <c r="DB2" i="1"/>
  <c r="DB3" i="1"/>
  <c r="DB4" i="1"/>
  <c r="DB5" i="1"/>
  <c r="DB6" i="1"/>
  <c r="DB7" i="1"/>
  <c r="DB8" i="1"/>
  <c r="DB9" i="1"/>
  <c r="CY2" i="1"/>
  <c r="CY3" i="1"/>
  <c r="CY4" i="1"/>
  <c r="CY5" i="1"/>
  <c r="CY6" i="1"/>
  <c r="CY7" i="1"/>
  <c r="CY8" i="1"/>
  <c r="CY9" i="1"/>
  <c r="CV2" i="1"/>
  <c r="CV3" i="1"/>
  <c r="CV4" i="1"/>
  <c r="CV5" i="1"/>
  <c r="CV6" i="1"/>
  <c r="CV7" i="1"/>
  <c r="CV8" i="1"/>
  <c r="CV9" i="1"/>
  <c r="CS2" i="1"/>
  <c r="CS3" i="1"/>
  <c r="CS4" i="1"/>
  <c r="CS5" i="1"/>
  <c r="CS6" i="1"/>
  <c r="CS7" i="1"/>
  <c r="CS8" i="1"/>
  <c r="CS9" i="1"/>
  <c r="CN2" i="1"/>
  <c r="CN3" i="1"/>
  <c r="CN4" i="1"/>
  <c r="CN5" i="1"/>
  <c r="CN6" i="1"/>
  <c r="CN7" i="1"/>
  <c r="CN8" i="1"/>
  <c r="CN9" i="1"/>
  <c r="CK2" i="1"/>
  <c r="CK3" i="1"/>
  <c r="CK4" i="1"/>
  <c r="CK5" i="1"/>
  <c r="CK6" i="1"/>
  <c r="CK7" i="1"/>
  <c r="CK8" i="1"/>
  <c r="CK9" i="1"/>
  <c r="CH2" i="1"/>
  <c r="CH3" i="1"/>
  <c r="CH4" i="1"/>
  <c r="CH5" i="1"/>
  <c r="CH6" i="1"/>
  <c r="CH7" i="1"/>
  <c r="CH8" i="1"/>
  <c r="CH9" i="1"/>
  <c r="CE2" i="1"/>
  <c r="CE3" i="1"/>
  <c r="CE4" i="1"/>
  <c r="CE5" i="1"/>
  <c r="CE6" i="1"/>
  <c r="CE7" i="1"/>
  <c r="CE8" i="1"/>
  <c r="CE9" i="1"/>
  <c r="BZ2" i="1"/>
  <c r="BZ3" i="1"/>
  <c r="BZ4" i="1"/>
  <c r="BZ5" i="1"/>
  <c r="BZ6" i="1"/>
  <c r="BZ7" i="1"/>
  <c r="BZ8" i="1"/>
  <c r="BZ9" i="1"/>
  <c r="BW2" i="1"/>
  <c r="BW3" i="1"/>
  <c r="BW4" i="1"/>
  <c r="BW5" i="1"/>
  <c r="BW6" i="1"/>
  <c r="BW7" i="1"/>
  <c r="BW8" i="1"/>
  <c r="BW9" i="1"/>
  <c r="BR2" i="1"/>
  <c r="BR3" i="1"/>
  <c r="BR4" i="1"/>
  <c r="BR5" i="1"/>
  <c r="BR6" i="1"/>
  <c r="BR7" i="1"/>
  <c r="BR8" i="1"/>
  <c r="BR9" i="1"/>
  <c r="BO2" i="1"/>
  <c r="BO3" i="1"/>
  <c r="BO4" i="1"/>
  <c r="BO5" i="1"/>
  <c r="BO6" i="1"/>
  <c r="BO7" i="1"/>
  <c r="BO8" i="1"/>
  <c r="BO9" i="1"/>
  <c r="BL2" i="1"/>
  <c r="BL3" i="1"/>
  <c r="BL4" i="1"/>
  <c r="BL5" i="1"/>
  <c r="BL6" i="1"/>
  <c r="BL7" i="1"/>
  <c r="BL8" i="1"/>
  <c r="BL9" i="1"/>
  <c r="BI2" i="1"/>
  <c r="BI3" i="1"/>
  <c r="BI4" i="1"/>
  <c r="BI5" i="1"/>
  <c r="BI6" i="1"/>
  <c r="BI7" i="1"/>
  <c r="BI8" i="1"/>
  <c r="BI9" i="1"/>
  <c r="BF2" i="1"/>
  <c r="BF3" i="1"/>
  <c r="BF4" i="1"/>
  <c r="BF5" i="1"/>
  <c r="BF6" i="1"/>
  <c r="BF7" i="1"/>
  <c r="BF8" i="1"/>
  <c r="BF9" i="1"/>
  <c r="BC2" i="1"/>
  <c r="BC3" i="1"/>
  <c r="BC4" i="1"/>
  <c r="BC5" i="1"/>
  <c r="BC6" i="1"/>
  <c r="BC7" i="1"/>
  <c r="BC8" i="1"/>
  <c r="BC9" i="1"/>
  <c r="AZ2" i="1"/>
  <c r="AZ3" i="1"/>
  <c r="AZ4" i="1"/>
  <c r="AZ5" i="1"/>
  <c r="AZ6" i="1"/>
  <c r="AZ7" i="1"/>
  <c r="AZ8" i="1"/>
  <c r="AZ9" i="1"/>
  <c r="AW2" i="1"/>
  <c r="AW3" i="1"/>
  <c r="AW4" i="1"/>
  <c r="AW5" i="1"/>
  <c r="AW6" i="1"/>
  <c r="AW7" i="1"/>
  <c r="AW8" i="1"/>
  <c r="AW9" i="1"/>
  <c r="AT2" i="1"/>
  <c r="AT3" i="1"/>
  <c r="AT4" i="1"/>
  <c r="AT5" i="1"/>
  <c r="AT6" i="1"/>
  <c r="AT7" i="1"/>
  <c r="AT8" i="1"/>
  <c r="AT9" i="1"/>
  <c r="AQ2" i="1"/>
  <c r="AQ3" i="1"/>
  <c r="AQ4" i="1"/>
  <c r="AQ5" i="1"/>
  <c r="AQ6" i="1"/>
  <c r="AQ7" i="1"/>
  <c r="AQ8" i="1"/>
  <c r="AQ9" i="1"/>
  <c r="AN2" i="1"/>
  <c r="AN3" i="1"/>
  <c r="AN4" i="1"/>
  <c r="AN5" i="1"/>
  <c r="AN6" i="1"/>
  <c r="AN7" i="1"/>
  <c r="AN8" i="1"/>
  <c r="AN9" i="1"/>
  <c r="AK2" i="1"/>
  <c r="AK3" i="1"/>
  <c r="AK4" i="1"/>
  <c r="AK5" i="1"/>
  <c r="AK6" i="1"/>
  <c r="AK7" i="1"/>
  <c r="AK8" i="1"/>
  <c r="AK9" i="1"/>
  <c r="AF2" i="1"/>
  <c r="AF3" i="1"/>
  <c r="AF4" i="1"/>
  <c r="AF5" i="1"/>
  <c r="AF6" i="1"/>
  <c r="AF7" i="1"/>
  <c r="AF8" i="1"/>
  <c r="AF9" i="1"/>
  <c r="AC2" i="1"/>
  <c r="AC3" i="1"/>
  <c r="AC4" i="1"/>
  <c r="AC5" i="1"/>
  <c r="AC6" i="1"/>
  <c r="AC7" i="1"/>
  <c r="AC8" i="1"/>
  <c r="AC9" i="1"/>
  <c r="Z2" i="1"/>
  <c r="Z3" i="1"/>
  <c r="Z4" i="1"/>
  <c r="Z5" i="1"/>
  <c r="Z6" i="1"/>
  <c r="Z7" i="1"/>
  <c r="Z8" i="1"/>
  <c r="Z9" i="1"/>
  <c r="U2" i="1"/>
  <c r="U3" i="1"/>
  <c r="U4" i="1"/>
  <c r="U5" i="1"/>
  <c r="U6" i="1"/>
  <c r="U7" i="1"/>
  <c r="U8" i="1"/>
  <c r="U9" i="1"/>
  <c r="R2" i="1"/>
  <c r="R3" i="1"/>
  <c r="R4" i="1"/>
  <c r="R5" i="1"/>
  <c r="R6" i="1"/>
  <c r="R7" i="1"/>
  <c r="R8" i="1"/>
  <c r="R9" i="1"/>
  <c r="O2" i="1"/>
  <c r="O3" i="1"/>
  <c r="O4" i="1"/>
  <c r="O5" i="1"/>
  <c r="O6" i="1"/>
  <c r="O7" i="1"/>
  <c r="O8" i="1"/>
  <c r="O9" i="1"/>
  <c r="L2" i="1"/>
  <c r="L3" i="1"/>
  <c r="L4" i="1"/>
  <c r="L5" i="1"/>
  <c r="L6" i="1"/>
  <c r="L7" i="1"/>
  <c r="L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1F56CD-CB06-4A24-968F-9D064F2F8D81}" keepAlive="1" name="Query - OfficeForms Table" description="Connection to the 'OfficeForms Table' query in the workbook." type="5" refreshedVersion="8" background="1" saveData="1">
    <dbPr connection="Provider=Microsoft.Mashup.OleDb.1;Data Source=$Workbook$;Location=&quot;OfficeForms Table&quot;;Extended Properties=&quot;&quot;" command="SELECT * FROM [OfficeForms Table]"/>
  </connection>
  <connection id="2" xr16:uid="{2725D64C-A5D9-4B24-9A58-F7B9153ADD15}" keepAlive="1" name="Query - OfficeForms Table (2)" description="Connection to the 'OfficeForms Table (2)' query in the workbook." type="5" refreshedVersion="0" background="1">
    <dbPr connection="Provider=Microsoft.Mashup.OleDb.1;Data Source=$Workbook$;Location=&quot;OfficeForms Table (2)&quot;;Extended Properties=&quot;&quot;" command="SELECT * FROM [OfficeForms Table (2)]"/>
  </connection>
  <connection id="3" xr16:uid="{1579253D-0E07-4821-9F14-0CC5E48D6BAC}" keepAlive="1" name="Query - OfficeForms Table Clean" description="Connection to the 'OfficeForms Table Clean' query in the workbook." type="5" refreshedVersion="8" background="1" saveData="1">
    <dbPr connection="Provider=Microsoft.Mashup.OleDb.1;Data Source=$Workbook$;Location=&quot;OfficeForms Table Clean&quot;;Extended Properties=&quot;&quot;" command="SELECT * FROM [OfficeForms Table Clean]"/>
  </connection>
</connections>
</file>

<file path=xl/sharedStrings.xml><?xml version="1.0" encoding="utf-8"?>
<sst xmlns="http://schemas.openxmlformats.org/spreadsheetml/2006/main" count="1086" uniqueCount="173">
  <si>
    <t>Id</t>
  </si>
  <si>
    <t>Start time</t>
  </si>
  <si>
    <t>Completion time</t>
  </si>
  <si>
    <t>Email</t>
  </si>
  <si>
    <t>Name</t>
  </si>
  <si>
    <t>Total points</t>
  </si>
  <si>
    <t>Quiz feedback</t>
  </si>
  <si>
    <t>Grade posted time</t>
  </si>
  <si>
    <t xml:space="preserve">Points - Current Affective State 
</t>
  </si>
  <si>
    <t xml:space="preserve">Feedback - Current Affective State 
</t>
  </si>
  <si>
    <t>Current Affective State 
.  I feel calm</t>
  </si>
  <si>
    <t>Points - Current Affective State 
.  I feel calm</t>
  </si>
  <si>
    <t>Feedback - Current Affective State 
.  I feel calm</t>
  </si>
  <si>
    <t>Current Affective State 
.  I feel tense</t>
  </si>
  <si>
    <t>Points - Current Affective State 
.  I feel tense</t>
  </si>
  <si>
    <t>Feedback - Current Affective State 
.  I feel tense</t>
  </si>
  <si>
    <t>Current Affective State 
.  I feel relaxed</t>
  </si>
  <si>
    <t>Points - Current Affective State 
.  I feel relaxed</t>
  </si>
  <si>
    <t>Feedback - Current Affective State 
.  I feel relaxed</t>
  </si>
  <si>
    <t>Current Affective State 
.  I feel stressed</t>
  </si>
  <si>
    <t>Points - Current Affective State 
.  I feel stressed</t>
  </si>
  <si>
    <t>Feedback - Current Affective State 
.  I feel stressed</t>
  </si>
  <si>
    <t>Points - Immersive Tendency</t>
  </si>
  <si>
    <t>Feedback - Immersive Tendency</t>
  </si>
  <si>
    <t xml:space="preserve">Immersive Tendency.  I easily become deeply involved in movies or virtual experiences.    </t>
  </si>
  <si>
    <t xml:space="preserve">Points - Immersive Tendency.  I easily become deeply involved in movies or virtual experiences.    </t>
  </si>
  <si>
    <t xml:space="preserve">Feedback - Immersive Tendency.  I easily become deeply involved in movies or virtual experiences.    </t>
  </si>
  <si>
    <t xml:space="preserve">Immersive Tendency.  I am good at blocking out external distractions when focused.    </t>
  </si>
  <si>
    <t xml:space="preserve">Points - Immersive Tendency.  I am good at blocking out external distractions when focused.    </t>
  </si>
  <si>
    <t xml:space="preserve">Feedback - Immersive Tendency.  I am good at blocking out external distractions when focused.    </t>
  </si>
  <si>
    <t xml:space="preserve">Immersive Tendency.  I often lose track of time when engaged in an activity.    </t>
  </si>
  <si>
    <t xml:space="preserve">Points - Immersive Tendency.  I often lose track of time when engaged in an activity.    </t>
  </si>
  <si>
    <t xml:space="preserve">Feedback - Immersive Tendency.  I often lose track of time when engaged in an activity.    </t>
  </si>
  <si>
    <t>Points - Sense of presence and immersion</t>
  </si>
  <si>
    <t>Feedback - Sense of presence and immersion</t>
  </si>
  <si>
    <t>Sense of presence and immersion.How much were you able to control the events?</t>
  </si>
  <si>
    <t>Points - Sense of presence and immersion.How much were you able to control the events?</t>
  </si>
  <si>
    <t>Feedback - Sense of presence and immersion.How much were you able to control the events?</t>
  </si>
  <si>
    <t>Sense of presence and immersion.How responsive was the environment to actions that you initiated?</t>
  </si>
  <si>
    <t>Points - Sense of presence and immersion.How responsive was the environment to actions that you initiated?</t>
  </si>
  <si>
    <t>Feedback - Sense of presence and immersion.How responsive was the environment to actions that you initiated?</t>
  </si>
  <si>
    <t>Sense of presence and immersion.How natural did your interactions with the environment seem?</t>
  </si>
  <si>
    <t>Points - Sense of presence and immersion.How natural did your interactions with the environment seem?</t>
  </si>
  <si>
    <t>Feedback - Sense of presence and immersion.How natural did your interactions with the environment seem?</t>
  </si>
  <si>
    <t xml:space="preserve">Sense of presence and immersion.  How completely were all of your senses engaged?    </t>
  </si>
  <si>
    <t xml:space="preserve">Points - Sense of presence and immersion.  How completely were all of your senses engaged?    </t>
  </si>
  <si>
    <t xml:space="preserve">Feedback - Sense of presence and immersion.  How completely were all of your senses engaged?    </t>
  </si>
  <si>
    <t xml:space="preserve">Sense of presence and immersion.  How much did the visual aspects of the environment involve you?    </t>
  </si>
  <si>
    <t xml:space="preserve">Points - Sense of presence and immersion.  How much did the visual aspects of the environment involve you?    </t>
  </si>
  <si>
    <t xml:space="preserve">Feedback - Sense of presence and immersion.  How much did the visual aspects of the environment involve you?    </t>
  </si>
  <si>
    <t xml:space="preserve">Sense of presence and immersion.  How much did the auditory aspects of the environment involve you?    </t>
  </si>
  <si>
    <t xml:space="preserve">Points - Sense of presence and immersion.  How much did the auditory aspects of the environment involve you?    </t>
  </si>
  <si>
    <t xml:space="preserve">Feedback - Sense of presence and immersion.  How much did the auditory aspects of the environment involve you?    </t>
  </si>
  <si>
    <t xml:space="preserve">Sense of presence and immersion.  How compelling was your sense of objects moving through space?    </t>
  </si>
  <si>
    <t xml:space="preserve">Points - Sense of presence and immersion.  How compelling was your sense of objects moving through space?    </t>
  </si>
  <si>
    <t xml:space="preserve">Feedback - Sense of presence and immersion.  How compelling was your sense of objects moving through space?    </t>
  </si>
  <si>
    <t xml:space="preserve">Sense of presence and immersion.  How inconsistent or disconnected was the information coming from your various senses?    </t>
  </si>
  <si>
    <t xml:space="preserve">Points - Sense of presence and immersion.  How inconsistent or disconnected was the information coming from your various senses?    </t>
  </si>
  <si>
    <t xml:space="preserve">Feedback - Sense of presence and immersion.  How inconsistent or disconnected was the information coming from your various senses?    </t>
  </si>
  <si>
    <t xml:space="preserve">Sense of presence and immersion.  How much did your experiences in the virtual environment seem consistent with your real-world experiences?    </t>
  </si>
  <si>
    <t xml:space="preserve">Points - Sense of presence and immersion.  How much did your experiences in the virtual environment seem consistent with your real-world experiences?    </t>
  </si>
  <si>
    <t xml:space="preserve">Feedback - Sense of presence and immersion.  How much did your experiences in the virtual environment seem consistent with your real-world experiences?    </t>
  </si>
  <si>
    <t xml:space="preserve">Sense of presence and immersion.  How compelling was your sense of moving around inside the virtual environment?    </t>
  </si>
  <si>
    <t xml:space="preserve">Points - Sense of presence and immersion.  How compelling was your sense of moving around inside the virtual environment?    </t>
  </si>
  <si>
    <t xml:space="preserve">Feedback - Sense of presence and immersion.  How compelling was your sense of moving around inside the virtual environment?    </t>
  </si>
  <si>
    <t xml:space="preserve">Sense of presence and immersion.  How involved were you in the virtual environment experience?    </t>
  </si>
  <si>
    <t xml:space="preserve">Points - Sense of presence and immersion.  How involved were you in the virtual environment experience?    </t>
  </si>
  <si>
    <t xml:space="preserve">Feedback - Sense of presence and immersion.  How involved were you in the virtual environment experience?    </t>
  </si>
  <si>
    <t xml:space="preserve">Sense of presence and immersion.  Were you involved in the experience to the extent that you lost track of time?    </t>
  </si>
  <si>
    <t xml:space="preserve">Points - Sense of presence and immersion.  Were you involved in the experience to the extent that you lost track of time?    </t>
  </si>
  <si>
    <t xml:space="preserve">Feedback - Sense of presence and immersion.  Were you involved in the experience to the extent that you lost track of time?    </t>
  </si>
  <si>
    <t>Points - Auditory perception</t>
  </si>
  <si>
    <t>Feedback - Auditory perception</t>
  </si>
  <si>
    <t xml:space="preserve">Auditory perception.  How well could you identify sounds?    </t>
  </si>
  <si>
    <t xml:space="preserve">Points - Auditory perception.  How well could you identify sounds?    </t>
  </si>
  <si>
    <t xml:space="preserve">Feedback - Auditory perception.  How well could you identify sounds?    </t>
  </si>
  <si>
    <t xml:space="preserve">Auditory perception.  How well could you localize sounds?    </t>
  </si>
  <si>
    <t xml:space="preserve">Points - Auditory perception.  How well could you localize sounds?    </t>
  </si>
  <si>
    <t xml:space="preserve">Feedback - Auditory perception.  How well could you localize sounds?    </t>
  </si>
  <si>
    <t>Points - Navigation Experience</t>
  </si>
  <si>
    <t>Feedback - Navigation Experience</t>
  </si>
  <si>
    <t xml:space="preserve">Navigation Experience.  How easy was it to find your way through the environment?    </t>
  </si>
  <si>
    <t xml:space="preserve">Points - Navigation Experience.  How easy was it to find your way through the environment?    </t>
  </si>
  <si>
    <t xml:space="preserve">Feedback - Navigation Experience.  How easy was it to find your way through the environment?    </t>
  </si>
  <si>
    <t xml:space="preserve">Navigation Experience.  How confident did you feel about where you were in the environment at any moment?    </t>
  </si>
  <si>
    <t xml:space="preserve">Points - Navigation Experience.  How confident did you feel about where you were in the environment at any moment?    </t>
  </si>
  <si>
    <t xml:space="preserve">Feedback - Navigation Experience.  How confident did you feel about where you were in the environment at any moment?    </t>
  </si>
  <si>
    <t xml:space="preserve">Navigation Experience.  To what extent did sounds help you decide where to go next?    </t>
  </si>
  <si>
    <t xml:space="preserve">Points - Navigation Experience.  To what extent did sounds help you decide where to go next?    </t>
  </si>
  <si>
    <t xml:space="preserve">Feedback - Navigation Experience.  To what extent did sounds help you decide where to go next?    </t>
  </si>
  <si>
    <t xml:space="preserve">Navigation Experience.  To what extent did sounds distract you from navigation?    </t>
  </si>
  <si>
    <t xml:space="preserve">Points - Navigation Experience.  To what extent did sounds distract you from navigation?    </t>
  </si>
  <si>
    <t xml:space="preserve">Feedback - Navigation Experience.  To what extent did sounds distract you from navigation?    </t>
  </si>
  <si>
    <t xml:space="preserve">Points - Post-Experience Affective State 
</t>
  </si>
  <si>
    <t xml:space="preserve">Feedback - Post-Experience Affective State 
</t>
  </si>
  <si>
    <t>Post-Experience Affective State 
.  I feel calm</t>
  </si>
  <si>
    <t>Points - Post-Experience Affective State 
.  I feel calm</t>
  </si>
  <si>
    <t>Feedback - Post-Experience Affective State 
.  I feel calm</t>
  </si>
  <si>
    <t>Post-Experience Affective State 
.  I feel tense</t>
  </si>
  <si>
    <t>Points - Post-Experience Affective State 
.  I feel tense</t>
  </si>
  <si>
    <t>Feedback - Post-Experience Affective State 
.  I feel tense</t>
  </si>
  <si>
    <t>Post-Experience Affective State 
.  I feel relaxed</t>
  </si>
  <si>
    <t>Points - Post-Experience Affective State 
.  I feel relaxed</t>
  </si>
  <si>
    <t>Feedback - Post-Experience Affective State 
.  I feel relaxed</t>
  </si>
  <si>
    <t>Post-Experience Affective State 
.  I feel stressed</t>
  </si>
  <si>
    <t>Points - Post-Experience Affective State 
.  I feel stressed</t>
  </si>
  <si>
    <t>Feedback - Post-Experience Affective State 
.  I feel stressed</t>
  </si>
  <si>
    <t>Points - Physical Comfort</t>
  </si>
  <si>
    <t>Feedback - Physical Comfort</t>
  </si>
  <si>
    <t xml:space="preserve">Physical Comfort.  I felt disoriented during or after the experience.    </t>
  </si>
  <si>
    <t xml:space="preserve">Points - Physical Comfort.  I felt disoriented during or after the experience.    </t>
  </si>
  <si>
    <t xml:space="preserve">Feedback - Physical Comfort.  I felt disoriented during or after the experience.    </t>
  </si>
  <si>
    <t xml:space="preserve">Physical Comfort.  I felt physically uncomfortable during the experience.    </t>
  </si>
  <si>
    <t xml:space="preserve">Points - Physical Comfort.  I felt physically uncomfortable during the experience.    </t>
  </si>
  <si>
    <t xml:space="preserve">Feedback - Physical Comfort.  I felt physically uncomfortable during the experience.    </t>
  </si>
  <si>
    <t>Congruent_1_1.2</t>
  </si>
  <si>
    <t>Considerably / Somewhat agree</t>
  </si>
  <si>
    <t xml:space="preserve">Not at all / Strongly disagree  </t>
  </si>
  <si>
    <t>Moderately / Neutral</t>
  </si>
  <si>
    <t>Very slightly / Disagree</t>
  </si>
  <si>
    <t>Very much / Agree</t>
  </si>
  <si>
    <t>Slightly / Somewhat disagree</t>
  </si>
  <si>
    <t>Extremely / Strongly agree</t>
  </si>
  <si>
    <t>Incongruent_1</t>
  </si>
  <si>
    <t>Congruent_2</t>
  </si>
  <si>
    <t>Incongruent_2</t>
  </si>
  <si>
    <t>Congruent_3</t>
  </si>
  <si>
    <t>Incongruent_3</t>
  </si>
  <si>
    <t>Incongruent_4</t>
  </si>
  <si>
    <t>Congruent_4</t>
  </si>
  <si>
    <t>Incongruent_5</t>
  </si>
  <si>
    <t>Incongruent_6</t>
  </si>
  <si>
    <t>Congruent_5</t>
  </si>
  <si>
    <t>Congruent_6</t>
  </si>
  <si>
    <t>Incongruent_7</t>
  </si>
  <si>
    <t>Current Affective State</t>
  </si>
  <si>
    <t>I feel calm</t>
  </si>
  <si>
    <t>I feel tense</t>
  </si>
  <si>
    <t>I feel relaxed</t>
  </si>
  <si>
    <t>I feel stressed</t>
  </si>
  <si>
    <t>Immersive Tendency</t>
  </si>
  <si>
    <t>I easily become deeply involved in movies or virtual experiences.</t>
  </si>
  <si>
    <t>I am good at blocking out external distractions when focused.</t>
  </si>
  <si>
    <t>I often lose track of time when engaged in an activity.</t>
  </si>
  <si>
    <t>Sense of presence and immersion</t>
  </si>
  <si>
    <t>How much were you able to control the events?</t>
  </si>
  <si>
    <t>How responsive was the environment to actions that you initiated?</t>
  </si>
  <si>
    <t>How natural did your interactions with the environment seem?</t>
  </si>
  <si>
    <t>How completely were all of your senses engaged?</t>
  </si>
  <si>
    <t>How much did the visual aspects of the environment involve you?</t>
  </si>
  <si>
    <t>How much did the auditory aspects of the environment involve you?</t>
  </si>
  <si>
    <t>How compelling was your sense of objects moving through space?</t>
  </si>
  <si>
    <t>How inconsistent or disconnected was the information coming from your various senses?</t>
  </si>
  <si>
    <t>How much did your experiences in the virtual environment seem consistent with your real-world experiences?</t>
  </si>
  <si>
    <t>How compelling was your sense of moving around inside the virtual environment?</t>
  </si>
  <si>
    <t>How involved were you in the virtual environment experience?</t>
  </si>
  <si>
    <t>Were you involved in the experience to the extent that you lost track of time?</t>
  </si>
  <si>
    <t>Auditory perception</t>
  </si>
  <si>
    <t>How well could you identify sounds?</t>
  </si>
  <si>
    <t>How well could you localize sounds?</t>
  </si>
  <si>
    <t>Navigation Experience</t>
  </si>
  <si>
    <t>How easy was it to find your way through the environment?</t>
  </si>
  <si>
    <t>How confident did you feel about where you were in the environment at any moment?</t>
  </si>
  <si>
    <t>To what extent did sounds help you decide where to go next?</t>
  </si>
  <si>
    <t>To what extent did sounds distract you from navigation?</t>
  </si>
  <si>
    <t>Post-Experience Affective State</t>
  </si>
  <si>
    <t>Physical Comfort</t>
  </si>
  <si>
    <t>I felt disoriented during or after the experience.</t>
  </si>
  <si>
    <t>I felt physically uncomfortable during the experience.</t>
  </si>
  <si>
    <t>Question</t>
  </si>
  <si>
    <t>Attribute</t>
  </si>
  <si>
    <t>Congruent</t>
  </si>
  <si>
    <t>Incongruent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</si>
</sst>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16"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7039035-DF60-4BA8-BBB8-0E96F12D5644}" autoFormatId="16" applyNumberFormats="0" applyBorderFormats="0" applyFontFormats="0" applyPatternFormats="0" applyAlignmentFormats="0" applyWidthHeightFormats="0">
  <queryTableRefresh nextId="13">
    <queryTableFields count="4">
      <queryTableField id="6" name="Question" tableColumnId="2"/>
      <queryTableField id="7" name="Attribute" tableColumnId="3"/>
      <queryTableField id="11" name="Congruent" tableColumnId="4"/>
      <queryTableField id="12" name="Incongruen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1348E34-7758-4996-9942-11EAA1FD20EE}" autoFormatId="16" applyNumberFormats="0" applyBorderFormats="0" applyFontFormats="0" applyPatternFormats="0" applyAlignmentFormats="0" applyWidthHeightFormats="0">
  <queryTableRefresh nextId="67">
    <queryTableFields count="66">
      <queryTableField id="1" name="Id" tableColumnId="1"/>
      <queryTableField id="2" name="Start time" tableColumnId="2"/>
      <queryTableField id="3" name="Completion time" tableColumnId="3"/>
      <queryTableField id="4" name="Email" tableColumnId="4"/>
      <queryTableField id="5" name="Current Affective State _x000a_.  I feel calm" tableColumnId="5"/>
      <queryTableField id="6" name="Points - Current Affective State _x000a_.  I feel calm" tableColumnId="6"/>
      <queryTableField id="7" name="Current Affective State _x000a_.  I feel tense" tableColumnId="7"/>
      <queryTableField id="8" name="Points - Current Affective State _x000a_.  I feel tense" tableColumnId="8"/>
      <queryTableField id="9" name="Current Affective State _x000a_.  I feel relaxed" tableColumnId="9"/>
      <queryTableField id="10" name="Points - Current Affective State _x000a_.  I feel relaxed" tableColumnId="10"/>
      <queryTableField id="11" name="Current Affective State _x000a_.  I feel stressed" tableColumnId="11"/>
      <queryTableField id="12" name="Points - Current Affective State _x000a_.  I feel stressed" tableColumnId="12"/>
      <queryTableField id="13" name="Immersive Tendency.  I easily become deeply involved in movies or virtual experiences.    " tableColumnId="13"/>
      <queryTableField id="14" name="Points - Immersive Tendency.  I easily become deeply involved in movies or virtual experiences.    " tableColumnId="14"/>
      <queryTableField id="15" name="Immersive Tendency.  I am good at blocking out external distractions when focused.    " tableColumnId="15"/>
      <queryTableField id="16" name="Points - Immersive Tendency.  I am good at blocking out external distractions when focused.    " tableColumnId="16"/>
      <queryTableField id="17" name="Immersive Tendency.  I often lose track of time when engaged in an activity.    " tableColumnId="17"/>
      <queryTableField id="18" name="Points - Immersive Tendency.  I often lose track of time when engaged in an activity.    " tableColumnId="18"/>
      <queryTableField id="19" name="Sense of presence and immersion.How much were you able to control the events?" tableColumnId="19"/>
      <queryTableField id="20" name="Points - Sense of presence and immersion.How much were you able to control the events?" tableColumnId="20"/>
      <queryTableField id="21" name="Sense of presence and immersion.How responsive was the environment to actions that you initiated?" tableColumnId="21"/>
      <queryTableField id="22" name="Points - Sense of presence and immersion.How responsive was the environment to actions that you initiated?" tableColumnId="22"/>
      <queryTableField id="23" name="Sense of presence and immersion.How natural did your interactions with the environment seem?" tableColumnId="23"/>
      <queryTableField id="24" name="Points - Sense of presence and immersion.How natural did your interactions with the environment seem?" tableColumnId="24"/>
      <queryTableField id="25" name="Sense of presence and immersion.  How completely were all of your senses engaged?    " tableColumnId="25"/>
      <queryTableField id="26" name="Points - Sense of presence and immersion.  How completely were all of your senses engaged?    " tableColumnId="26"/>
      <queryTableField id="27" name="Sense of presence and immersion.  How much did the visual aspects of the environment involve you?    " tableColumnId="27"/>
      <queryTableField id="28" name="Points - Sense of presence and immersion.  How much did the visual aspects of the environment involve you?    " tableColumnId="28"/>
      <queryTableField id="29" name="Sense of presence and immersion.  How much did the auditory aspects of the environment involve you?    " tableColumnId="29"/>
      <queryTableField id="30" name="Points - Sense of presence and immersion.  How much did the auditory aspects of the environment involve you?    " tableColumnId="30"/>
      <queryTableField id="31" name="Sense of presence and immersion.  How compelling was your sense of objects moving through space?    " tableColumnId="31"/>
      <queryTableField id="32" name="Points - Sense of presence and immersion.  How compelling was your sense of objects moving through space?    " tableColumnId="32"/>
      <queryTableField id="33" name="Sense of presence and immersion.  How inconsistent or disconnected was the information coming from your various senses?    " tableColumnId="33"/>
      <queryTableField id="34" name="Points - Sense of presence and immersion.  How inconsistent or disconnected was the information coming from your various senses?    " tableColumnId="34"/>
      <queryTableField id="35" name="Sense of presence and immersion.  How much did your experiences in the virtual environment seem consistent with your real-world experiences?    " tableColumnId="35"/>
      <queryTableField id="36" name="Points - Sense of presence and immersion.  How much did your experiences in the virtual environment seem consistent with your real-world experiences?    " tableColumnId="36"/>
      <queryTableField id="37" name="Sense of presence and immersion.  How compelling was your sense of moving around inside the virtual environment?    " tableColumnId="37"/>
      <queryTableField id="38" name="Points - Sense of presence and immersion.  How compelling was your sense of moving around inside the virtual environment?    " tableColumnId="38"/>
      <queryTableField id="39" name="Sense of presence and immersion.  How involved were you in the virtual environment experience?    " tableColumnId="39"/>
      <queryTableField id="40" name="Points - Sense of presence and immersion.  How involved were you in the virtual environment experience?    " tableColumnId="40"/>
      <queryTableField id="41" name="Sense of presence and immersion.  Were you involved in the experience to the extent that you lost track of time?    " tableColumnId="41"/>
      <queryTableField id="42" name="Points - Sense of presence and immersion.  Were you involved in the experience to the extent that you lost track of time?    " tableColumnId="42"/>
      <queryTableField id="43" name="Auditory perception.  How well could you identify sounds?    " tableColumnId="43"/>
      <queryTableField id="44" name="Points - Auditory perception.  How well could you identify sounds?    " tableColumnId="44"/>
      <queryTableField id="45" name="Auditory perception.  How well could you localize sounds?    " tableColumnId="45"/>
      <queryTableField id="46" name="Points - Auditory perception.  How well could you localize sounds?    " tableColumnId="46"/>
      <queryTableField id="47" name="Navigation Experience.  How easy was it to find your way through the environment?    " tableColumnId="47"/>
      <queryTableField id="48" name="Points - Navigation Experience.  How easy was it to find your way through the environment?    " tableColumnId="48"/>
      <queryTableField id="49" name="Navigation Experience.  How confident did you feel about where you were in the environment at any moment?    " tableColumnId="49"/>
      <queryTableField id="50" name="Points - Navigation Experience.  How confident did you feel about where you were in the environment at any moment?    " tableColumnId="50"/>
      <queryTableField id="51" name="Navigation Experience.  To what extent did sounds help you decide where to go next?    " tableColumnId="51"/>
      <queryTableField id="52" name="Points - Navigation Experience.  To what extent did sounds help you decide where to go next?    " tableColumnId="52"/>
      <queryTableField id="53" name="Navigation Experience.  To what extent did sounds distract you from navigation?    " tableColumnId="53"/>
      <queryTableField id="54" name="Points - Navigation Experience.  To what extent did sounds distract you from navigation?    " tableColumnId="54"/>
      <queryTableField id="55" name="Post-Experience Affective State _x000a_.  I feel calm" tableColumnId="55"/>
      <queryTableField id="56" name="Points - Post-Experience Affective State _x000a_.  I feel calm" tableColumnId="56"/>
      <queryTableField id="57" name="Post-Experience Affective State _x000a_.  I feel tense" tableColumnId="57"/>
      <queryTableField id="58" name="Points - Post-Experience Affective State _x000a_.  I feel tense" tableColumnId="58"/>
      <queryTableField id="59" name="Post-Experience Affective State _x000a_.  I feel relaxed" tableColumnId="59"/>
      <queryTableField id="60" name="Points - Post-Experience Affective State _x000a_.  I feel relaxed" tableColumnId="60"/>
      <queryTableField id="61" name="Post-Experience Affective State _x000a_.  I feel stressed" tableColumnId="61"/>
      <queryTableField id="62" name="Points - Post-Experience Affective State _x000a_.  I feel stressed" tableColumnId="62"/>
      <queryTableField id="63" name="Physical Comfort.  I felt disoriented during or after the experience.    " tableColumnId="63"/>
      <queryTableField id="64" name="Points - Physical Comfort.  I felt disoriented during or after the experience.    " tableColumnId="64"/>
      <queryTableField id="65" name="Physical Comfort.  I felt physically uncomfortable during the experience.    " tableColumnId="65"/>
      <queryTableField id="66" name="Points - Physical Comfort.  I felt physically uncomfortable during the experience.    " tableColumnId="6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DK14" totalsRowShown="0">
  <autoFilter ref="A1:DK14" xr:uid="{00000000-0009-0000-0100-000001000000}"/>
  <tableColumns count="115">
    <tableColumn id="1" xr3:uid="{00000000-0010-0000-0000-000001000000}" name="Id" dataDxfId="11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14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13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otal points" dataDxfId="112">
      <extLst>
        <ext xmlns:xlmsforms="http://schemas.microsoft.com/office/spreadsheetml/2023/msForms" uri="{FCC71383-01E1-4257-9335-427F07BE8D7F}">
          <xlmsforms:question id="totalScore"/>
        </ext>
      </extLst>
    </tableColumn>
    <tableColumn id="7" xr3:uid="{00000000-0010-0000-0000-000007000000}" name="Quiz feedback" dataDxfId="111">
      <extLst>
        <ext xmlns:xlmsforms="http://schemas.microsoft.com/office/spreadsheetml/2023/msForms" uri="{FCC71383-01E1-4257-9335-427F07BE8D7F}">
          <xlmsforms:question id="quizFeedback"/>
        </ext>
      </extLst>
    </tableColumn>
    <tableColumn id="8" xr3:uid="{00000000-0010-0000-0000-000008000000}" name="Grade posted time">
      <extLst>
        <ext xmlns:xlmsforms="http://schemas.microsoft.com/office/spreadsheetml/2023/msForms" uri="{FCC71383-01E1-4257-9335-427F07BE8D7F}">
          <xlmsforms:question id="releaseDate"/>
        </ext>
      </extLst>
    </tableColumn>
    <tableColumn id="9" xr3:uid="{00000000-0010-0000-0000-000009000000}" name="Points - Current Affective State _x000a_" dataDxfId="110">
      <extLst>
        <ext xmlns:xlmsforms="http://schemas.microsoft.com/office/spreadsheetml/2023/msForms" uri="{FCC71383-01E1-4257-9335-427F07BE8D7F}">
          <xlmsforms:question id="rf6514283c8dc40a39c58a38e47e95f3a-Score"/>
        </ext>
      </extLst>
    </tableColumn>
    <tableColumn id="10" xr3:uid="{00000000-0010-0000-0000-00000A000000}" name="Feedback - Current Affective State _x000a_" dataDxfId="109">
      <extLst>
        <ext xmlns:xlmsforms="http://schemas.microsoft.com/office/spreadsheetml/2023/msForms" uri="{FCC71383-01E1-4257-9335-427F07BE8D7F}">
          <xlmsforms:question id="rf6514283c8dc40a39c58a38e47e95f3a-Comment"/>
        </ext>
      </extLst>
    </tableColumn>
    <tableColumn id="11" xr3:uid="{00000000-0010-0000-0000-00000B000000}" name="Current Affective State _x000a_.  I feel calm" dataDxfId="108">
      <extLst>
        <ext xmlns:xlmsforms="http://schemas.microsoft.com/office/spreadsheetml/2023/msForms" uri="{FCC71383-01E1-4257-9335-427F07BE8D7F}">
          <xlmsforms:question id="r13e30ac9b2d84f52b731807fe62bf48c"/>
        </ext>
      </extLst>
    </tableColumn>
    <tableColumn id="12" xr3:uid="{00000000-0010-0000-0000-00000C000000}" name="Points - Current Affective State _x000a_.  I feel calm" dataDxfId="107">
      <calculatedColumnFormula>_xlfn.XLOOKUP(K2,Sheet2!$A$1:$A$7,Sheet2!$B$1:$B$7)</calculatedColumnFormula>
      <extLst>
        <ext xmlns:xlmsforms="http://schemas.microsoft.com/office/spreadsheetml/2023/msForms" uri="{FCC71383-01E1-4257-9335-427F07BE8D7F}">
          <xlmsforms:question id="r13e30ac9b2d84f52b731807fe62bf48c-Score"/>
        </ext>
      </extLst>
    </tableColumn>
    <tableColumn id="13" xr3:uid="{00000000-0010-0000-0000-00000D000000}" name="Feedback - Current Affective State _x000a_.  I feel calm" dataDxfId="106">
      <extLst>
        <ext xmlns:xlmsforms="http://schemas.microsoft.com/office/spreadsheetml/2023/msForms" uri="{FCC71383-01E1-4257-9335-427F07BE8D7F}">
          <xlmsforms:question id="r13e30ac9b2d84f52b731807fe62bf48c-Comment"/>
        </ext>
      </extLst>
    </tableColumn>
    <tableColumn id="14" xr3:uid="{00000000-0010-0000-0000-00000E000000}" name="Current Affective State _x000a_.  I feel tense" dataDxfId="105">
      <extLst>
        <ext xmlns:xlmsforms="http://schemas.microsoft.com/office/spreadsheetml/2023/msForms" uri="{FCC71383-01E1-4257-9335-427F07BE8D7F}">
          <xlmsforms:question id="r3d65bcb7a3af42fba2c1520ba12385e5"/>
        </ext>
      </extLst>
    </tableColumn>
    <tableColumn id="15" xr3:uid="{00000000-0010-0000-0000-00000F000000}" name="Points - Current Affective State _x000a_.  I feel tense" dataDxfId="104">
      <calculatedColumnFormula>_xlfn.XLOOKUP(N2,Sheet2!$A$1:$A$7,Sheet2!$B$1:$B$7)</calculatedColumnFormula>
      <extLst>
        <ext xmlns:xlmsforms="http://schemas.microsoft.com/office/spreadsheetml/2023/msForms" uri="{FCC71383-01E1-4257-9335-427F07BE8D7F}">
          <xlmsforms:question id="r3d65bcb7a3af42fba2c1520ba12385e5-Score"/>
        </ext>
      </extLst>
    </tableColumn>
    <tableColumn id="16" xr3:uid="{00000000-0010-0000-0000-000010000000}" name="Feedback - Current Affective State _x000a_.  I feel tense" dataDxfId="103">
      <extLst>
        <ext xmlns:xlmsforms="http://schemas.microsoft.com/office/spreadsheetml/2023/msForms" uri="{FCC71383-01E1-4257-9335-427F07BE8D7F}">
          <xlmsforms:question id="r3d65bcb7a3af42fba2c1520ba12385e5-Comment"/>
        </ext>
      </extLst>
    </tableColumn>
    <tableColumn id="17" xr3:uid="{00000000-0010-0000-0000-000011000000}" name="Current Affective State _x000a_.  I feel relaxed" dataDxfId="102">
      <extLst>
        <ext xmlns:xlmsforms="http://schemas.microsoft.com/office/spreadsheetml/2023/msForms" uri="{FCC71383-01E1-4257-9335-427F07BE8D7F}">
          <xlmsforms:question id="rbe71cfb579634ead97ffa39b9e6ea27a"/>
        </ext>
      </extLst>
    </tableColumn>
    <tableColumn id="18" xr3:uid="{00000000-0010-0000-0000-000012000000}" name="Points - Current Affective State _x000a_.  I feel relaxed" dataDxfId="101">
      <calculatedColumnFormula>_xlfn.XLOOKUP(Q2,Sheet2!$A$1:$A$7,Sheet2!$B$1:$B$7)</calculatedColumnFormula>
      <extLst>
        <ext xmlns:xlmsforms="http://schemas.microsoft.com/office/spreadsheetml/2023/msForms" uri="{FCC71383-01E1-4257-9335-427F07BE8D7F}">
          <xlmsforms:question id="rbe71cfb579634ead97ffa39b9e6ea27a-Score"/>
        </ext>
      </extLst>
    </tableColumn>
    <tableColumn id="19" xr3:uid="{00000000-0010-0000-0000-000013000000}" name="Feedback - Current Affective State _x000a_.  I feel relaxed" dataDxfId="100">
      <extLst>
        <ext xmlns:xlmsforms="http://schemas.microsoft.com/office/spreadsheetml/2023/msForms" uri="{FCC71383-01E1-4257-9335-427F07BE8D7F}">
          <xlmsforms:question id="rbe71cfb579634ead97ffa39b9e6ea27a-Comment"/>
        </ext>
      </extLst>
    </tableColumn>
    <tableColumn id="20" xr3:uid="{00000000-0010-0000-0000-000014000000}" name="Current Affective State _x000a_.  I feel stressed" dataDxfId="99">
      <extLst>
        <ext xmlns:xlmsforms="http://schemas.microsoft.com/office/spreadsheetml/2023/msForms" uri="{FCC71383-01E1-4257-9335-427F07BE8D7F}">
          <xlmsforms:question id="r635d734ea73b4bebbc6e1322b3bb1671"/>
        </ext>
      </extLst>
    </tableColumn>
    <tableColumn id="21" xr3:uid="{00000000-0010-0000-0000-000015000000}" name="Points - Current Affective State _x000a_.  I feel stressed" dataDxfId="98">
      <calculatedColumnFormula>_xlfn.XLOOKUP(T2,Sheet2!$A$1:$A$7,Sheet2!$B$1:$B$7)</calculatedColumnFormula>
      <extLst>
        <ext xmlns:xlmsforms="http://schemas.microsoft.com/office/spreadsheetml/2023/msForms" uri="{FCC71383-01E1-4257-9335-427F07BE8D7F}">
          <xlmsforms:question id="r635d734ea73b4bebbc6e1322b3bb1671-Score"/>
        </ext>
      </extLst>
    </tableColumn>
    <tableColumn id="22" xr3:uid="{00000000-0010-0000-0000-000016000000}" name="Feedback - Current Affective State _x000a_.  I feel stressed" dataDxfId="97">
      <extLst>
        <ext xmlns:xlmsforms="http://schemas.microsoft.com/office/spreadsheetml/2023/msForms" uri="{FCC71383-01E1-4257-9335-427F07BE8D7F}">
          <xlmsforms:question id="r635d734ea73b4bebbc6e1322b3bb1671-Comment"/>
        </ext>
      </extLst>
    </tableColumn>
    <tableColumn id="23" xr3:uid="{00000000-0010-0000-0000-000017000000}" name="Points - Immersive Tendency" dataDxfId="96">
      <extLst>
        <ext xmlns:xlmsforms="http://schemas.microsoft.com/office/spreadsheetml/2023/msForms" uri="{FCC71383-01E1-4257-9335-427F07BE8D7F}">
          <xlmsforms:question id="r0e11500b69da4d2689430428c0c775a9-Score"/>
        </ext>
      </extLst>
    </tableColumn>
    <tableColumn id="24" xr3:uid="{00000000-0010-0000-0000-000018000000}" name="Feedback - Immersive Tendency" dataDxfId="95">
      <extLst>
        <ext xmlns:xlmsforms="http://schemas.microsoft.com/office/spreadsheetml/2023/msForms" uri="{FCC71383-01E1-4257-9335-427F07BE8D7F}">
          <xlmsforms:question id="r0e11500b69da4d2689430428c0c775a9-Comment"/>
        </ext>
      </extLst>
    </tableColumn>
    <tableColumn id="25" xr3:uid="{00000000-0010-0000-0000-000019000000}" name="Immersive Tendency.  I easily become deeply involved in movies or virtual experiences.    " dataDxfId="94">
      <extLst>
        <ext xmlns:xlmsforms="http://schemas.microsoft.com/office/spreadsheetml/2023/msForms" uri="{FCC71383-01E1-4257-9335-427F07BE8D7F}">
          <xlmsforms:question id="r5699b77062074106a877f84cecc58d1d"/>
        </ext>
      </extLst>
    </tableColumn>
    <tableColumn id="26" xr3:uid="{00000000-0010-0000-0000-00001A000000}" name="Points - Immersive Tendency.  I easily become deeply involved in movies or virtual experiences.    " dataDxfId="93">
      <calculatedColumnFormula>_xlfn.XLOOKUP(Y2,Sheet2!$A$1:$A$7,Sheet2!$B$1:$B$7)</calculatedColumnFormula>
      <extLst>
        <ext xmlns:xlmsforms="http://schemas.microsoft.com/office/spreadsheetml/2023/msForms" uri="{FCC71383-01E1-4257-9335-427F07BE8D7F}">
          <xlmsforms:question id="r5699b77062074106a877f84cecc58d1d-Score"/>
        </ext>
      </extLst>
    </tableColumn>
    <tableColumn id="27" xr3:uid="{00000000-0010-0000-0000-00001B000000}" name="Feedback - Immersive Tendency.  I easily become deeply involved in movies or virtual experiences.    " dataDxfId="92">
      <extLst>
        <ext xmlns:xlmsforms="http://schemas.microsoft.com/office/spreadsheetml/2023/msForms" uri="{FCC71383-01E1-4257-9335-427F07BE8D7F}">
          <xlmsforms:question id="r5699b77062074106a877f84cecc58d1d-Comment"/>
        </ext>
      </extLst>
    </tableColumn>
    <tableColumn id="28" xr3:uid="{00000000-0010-0000-0000-00001C000000}" name="Immersive Tendency.  I am good at blocking out external distractions when focused.    " dataDxfId="91">
      <extLst>
        <ext xmlns:xlmsforms="http://schemas.microsoft.com/office/spreadsheetml/2023/msForms" uri="{FCC71383-01E1-4257-9335-427F07BE8D7F}">
          <xlmsforms:question id="rb2a75cb2d5e94a47b434f51c1abebdc2"/>
        </ext>
      </extLst>
    </tableColumn>
    <tableColumn id="29" xr3:uid="{00000000-0010-0000-0000-00001D000000}" name="Points - Immersive Tendency.  I am good at blocking out external distractions when focused.    " dataDxfId="90">
      <calculatedColumnFormula>_xlfn.XLOOKUP(AB2,Sheet2!$A$1:$A$7,Sheet2!$B$1:$B$7)</calculatedColumnFormula>
      <extLst>
        <ext xmlns:xlmsforms="http://schemas.microsoft.com/office/spreadsheetml/2023/msForms" uri="{FCC71383-01E1-4257-9335-427F07BE8D7F}">
          <xlmsforms:question id="rb2a75cb2d5e94a47b434f51c1abebdc2-Score"/>
        </ext>
      </extLst>
    </tableColumn>
    <tableColumn id="30" xr3:uid="{00000000-0010-0000-0000-00001E000000}" name="Feedback - Immersive Tendency.  I am good at blocking out external distractions when focused.    " dataDxfId="89">
      <extLst>
        <ext xmlns:xlmsforms="http://schemas.microsoft.com/office/spreadsheetml/2023/msForms" uri="{FCC71383-01E1-4257-9335-427F07BE8D7F}">
          <xlmsforms:question id="rb2a75cb2d5e94a47b434f51c1abebdc2-Comment"/>
        </ext>
      </extLst>
    </tableColumn>
    <tableColumn id="31" xr3:uid="{00000000-0010-0000-0000-00001F000000}" name="Immersive Tendency.  I often lose track of time when engaged in an activity.    " dataDxfId="88">
      <extLst>
        <ext xmlns:xlmsforms="http://schemas.microsoft.com/office/spreadsheetml/2023/msForms" uri="{FCC71383-01E1-4257-9335-427F07BE8D7F}">
          <xlmsforms:question id="r42f49f6743a64cbebba7ded84f12b08d"/>
        </ext>
      </extLst>
    </tableColumn>
    <tableColumn id="32" xr3:uid="{00000000-0010-0000-0000-000020000000}" name="Points - Immersive Tendency.  I often lose track of time when engaged in an activity.    " dataDxfId="87">
      <calculatedColumnFormula>_xlfn.XLOOKUP(AE2,Sheet2!$A$1:$A$7,Sheet2!$B$1:$B$7)</calculatedColumnFormula>
      <extLst>
        <ext xmlns:xlmsforms="http://schemas.microsoft.com/office/spreadsheetml/2023/msForms" uri="{FCC71383-01E1-4257-9335-427F07BE8D7F}">
          <xlmsforms:question id="r42f49f6743a64cbebba7ded84f12b08d-Score"/>
        </ext>
      </extLst>
    </tableColumn>
    <tableColumn id="33" xr3:uid="{00000000-0010-0000-0000-000021000000}" name="Feedback - Immersive Tendency.  I often lose track of time when engaged in an activity.    " dataDxfId="86">
      <extLst>
        <ext xmlns:xlmsforms="http://schemas.microsoft.com/office/spreadsheetml/2023/msForms" uri="{FCC71383-01E1-4257-9335-427F07BE8D7F}">
          <xlmsforms:question id="r42f49f6743a64cbebba7ded84f12b08d-Comment"/>
        </ext>
      </extLst>
    </tableColumn>
    <tableColumn id="34" xr3:uid="{00000000-0010-0000-0000-000022000000}" name="Points - Sense of presence and immersion" dataDxfId="85">
      <extLst>
        <ext xmlns:xlmsforms="http://schemas.microsoft.com/office/spreadsheetml/2023/msForms" uri="{FCC71383-01E1-4257-9335-427F07BE8D7F}">
          <xlmsforms:question id="r109698fc54824aa9915fac37a7884270-Score"/>
        </ext>
      </extLst>
    </tableColumn>
    <tableColumn id="35" xr3:uid="{00000000-0010-0000-0000-000023000000}" name="Feedback - Sense of presence and immersion" dataDxfId="84">
      <extLst>
        <ext xmlns:xlmsforms="http://schemas.microsoft.com/office/spreadsheetml/2023/msForms" uri="{FCC71383-01E1-4257-9335-427F07BE8D7F}">
          <xlmsforms:question id="r109698fc54824aa9915fac37a7884270-Comment"/>
        </ext>
      </extLst>
    </tableColumn>
    <tableColumn id="36" xr3:uid="{00000000-0010-0000-0000-000024000000}" name="Sense of presence and immersion.How much were you able to control the events?" dataDxfId="83">
      <extLst>
        <ext xmlns:xlmsforms="http://schemas.microsoft.com/office/spreadsheetml/2023/msForms" uri="{FCC71383-01E1-4257-9335-427F07BE8D7F}">
          <xlmsforms:question id="rde67ef3a2d8f42838c4bb0913f181471"/>
        </ext>
      </extLst>
    </tableColumn>
    <tableColumn id="37" xr3:uid="{00000000-0010-0000-0000-000025000000}" name="Points - Sense of presence and immersion.How much were you able to control the events?" dataDxfId="82">
      <calculatedColumnFormula>_xlfn.XLOOKUP(AJ2,Sheet2!$A$1:$A$7,Sheet2!$B$1:$B$7)</calculatedColumnFormula>
      <extLst>
        <ext xmlns:xlmsforms="http://schemas.microsoft.com/office/spreadsheetml/2023/msForms" uri="{FCC71383-01E1-4257-9335-427F07BE8D7F}">
          <xlmsforms:question id="rde67ef3a2d8f42838c4bb0913f181471-Score"/>
        </ext>
      </extLst>
    </tableColumn>
    <tableColumn id="38" xr3:uid="{00000000-0010-0000-0000-000026000000}" name="Feedback - Sense of presence and immersion.How much were you able to control the events?" dataDxfId="81">
      <extLst>
        <ext xmlns:xlmsforms="http://schemas.microsoft.com/office/spreadsheetml/2023/msForms" uri="{FCC71383-01E1-4257-9335-427F07BE8D7F}">
          <xlmsforms:question id="rde67ef3a2d8f42838c4bb0913f181471-Comment"/>
        </ext>
      </extLst>
    </tableColumn>
    <tableColumn id="39" xr3:uid="{00000000-0010-0000-0000-000027000000}" name="Sense of presence and immersion.How responsive was the environment to actions that you initiated?" dataDxfId="80">
      <extLst>
        <ext xmlns:xlmsforms="http://schemas.microsoft.com/office/spreadsheetml/2023/msForms" uri="{FCC71383-01E1-4257-9335-427F07BE8D7F}">
          <xlmsforms:question id="reea3be3fc7e94a12a409c6ad93d3bb59"/>
        </ext>
      </extLst>
    </tableColumn>
    <tableColumn id="40" xr3:uid="{00000000-0010-0000-0000-000028000000}" name="Points - Sense of presence and immersion.How responsive was the environment to actions that you initiated?" dataDxfId="79">
      <calculatedColumnFormula>_xlfn.XLOOKUP(AM2,Sheet2!$A$1:$A$7,Sheet2!$B$1:$B$7)</calculatedColumnFormula>
      <extLst>
        <ext xmlns:xlmsforms="http://schemas.microsoft.com/office/spreadsheetml/2023/msForms" uri="{FCC71383-01E1-4257-9335-427F07BE8D7F}">
          <xlmsforms:question id="reea3be3fc7e94a12a409c6ad93d3bb59-Score"/>
        </ext>
      </extLst>
    </tableColumn>
    <tableColumn id="41" xr3:uid="{00000000-0010-0000-0000-000029000000}" name="Feedback - Sense of presence and immersion.How responsive was the environment to actions that you initiated?" dataDxfId="78">
      <extLst>
        <ext xmlns:xlmsforms="http://schemas.microsoft.com/office/spreadsheetml/2023/msForms" uri="{FCC71383-01E1-4257-9335-427F07BE8D7F}">
          <xlmsforms:question id="reea3be3fc7e94a12a409c6ad93d3bb59-Comment"/>
        </ext>
      </extLst>
    </tableColumn>
    <tableColumn id="42" xr3:uid="{00000000-0010-0000-0000-00002A000000}" name="Sense of presence and immersion.How natural did your interactions with the environment seem?" dataDxfId="77">
      <extLst>
        <ext xmlns:xlmsforms="http://schemas.microsoft.com/office/spreadsheetml/2023/msForms" uri="{FCC71383-01E1-4257-9335-427F07BE8D7F}">
          <xlmsforms:question id="r00281dea8aa043788c48b6dab078fb34"/>
        </ext>
      </extLst>
    </tableColumn>
    <tableColumn id="43" xr3:uid="{00000000-0010-0000-0000-00002B000000}" name="Points - Sense of presence and immersion.How natural did your interactions with the environment seem?" dataDxfId="76">
      <calculatedColumnFormula>_xlfn.XLOOKUP(AP2,Sheet2!$A$1:$A$7,Sheet2!$B$1:$B$7)</calculatedColumnFormula>
      <extLst>
        <ext xmlns:xlmsforms="http://schemas.microsoft.com/office/spreadsheetml/2023/msForms" uri="{FCC71383-01E1-4257-9335-427F07BE8D7F}">
          <xlmsforms:question id="r00281dea8aa043788c48b6dab078fb34-Score"/>
        </ext>
      </extLst>
    </tableColumn>
    <tableColumn id="44" xr3:uid="{00000000-0010-0000-0000-00002C000000}" name="Feedback - Sense of presence and immersion.How natural did your interactions with the environment seem?" dataDxfId="75">
      <extLst>
        <ext xmlns:xlmsforms="http://schemas.microsoft.com/office/spreadsheetml/2023/msForms" uri="{FCC71383-01E1-4257-9335-427F07BE8D7F}">
          <xlmsforms:question id="r00281dea8aa043788c48b6dab078fb34-Comment"/>
        </ext>
      </extLst>
    </tableColumn>
    <tableColumn id="45" xr3:uid="{00000000-0010-0000-0000-00002D000000}" name="Sense of presence and immersion.  How completely were all of your senses engaged?    " dataDxfId="74">
      <extLst>
        <ext xmlns:xlmsforms="http://schemas.microsoft.com/office/spreadsheetml/2023/msForms" uri="{FCC71383-01E1-4257-9335-427F07BE8D7F}">
          <xlmsforms:question id="re7d6aba0787e49cda2c592b4aeedadb0"/>
        </ext>
      </extLst>
    </tableColumn>
    <tableColumn id="46" xr3:uid="{00000000-0010-0000-0000-00002E000000}" name="Points - Sense of presence and immersion.  How completely were all of your senses engaged?    " dataDxfId="73">
      <calculatedColumnFormula>_xlfn.XLOOKUP(AS2,Sheet2!$A$1:$A$7,Sheet2!$B$1:$B$7)</calculatedColumnFormula>
      <extLst>
        <ext xmlns:xlmsforms="http://schemas.microsoft.com/office/spreadsheetml/2023/msForms" uri="{FCC71383-01E1-4257-9335-427F07BE8D7F}">
          <xlmsforms:question id="re7d6aba0787e49cda2c592b4aeedadb0-Score"/>
        </ext>
      </extLst>
    </tableColumn>
    <tableColumn id="47" xr3:uid="{00000000-0010-0000-0000-00002F000000}" name="Feedback - Sense of presence and immersion.  How completely were all of your senses engaged?    " dataDxfId="72">
      <extLst>
        <ext xmlns:xlmsforms="http://schemas.microsoft.com/office/spreadsheetml/2023/msForms" uri="{FCC71383-01E1-4257-9335-427F07BE8D7F}">
          <xlmsforms:question id="re7d6aba0787e49cda2c592b4aeedadb0-Comment"/>
        </ext>
      </extLst>
    </tableColumn>
    <tableColumn id="48" xr3:uid="{00000000-0010-0000-0000-000030000000}" name="Sense of presence and immersion.  How much did the visual aspects of the environment involve you?    " dataDxfId="71">
      <extLst>
        <ext xmlns:xlmsforms="http://schemas.microsoft.com/office/spreadsheetml/2023/msForms" uri="{FCC71383-01E1-4257-9335-427F07BE8D7F}">
          <xlmsforms:question id="r462261dada594619a89b8a4d846616df"/>
        </ext>
      </extLst>
    </tableColumn>
    <tableColumn id="49" xr3:uid="{00000000-0010-0000-0000-000031000000}" name="Points - Sense of presence and immersion.  How much did the visual aspects of the environment involve you?    " dataDxfId="70">
      <calculatedColumnFormula>_xlfn.XLOOKUP(AV2,Sheet2!$A$1:$A$7,Sheet2!$B$1:$B$7)</calculatedColumnFormula>
      <extLst>
        <ext xmlns:xlmsforms="http://schemas.microsoft.com/office/spreadsheetml/2023/msForms" uri="{FCC71383-01E1-4257-9335-427F07BE8D7F}">
          <xlmsforms:question id="r462261dada594619a89b8a4d846616df-Score"/>
        </ext>
      </extLst>
    </tableColumn>
    <tableColumn id="50" xr3:uid="{00000000-0010-0000-0000-000032000000}" name="Feedback - Sense of presence and immersion.  How much did the visual aspects of the environment involve you?    " dataDxfId="69">
      <extLst>
        <ext xmlns:xlmsforms="http://schemas.microsoft.com/office/spreadsheetml/2023/msForms" uri="{FCC71383-01E1-4257-9335-427F07BE8D7F}">
          <xlmsforms:question id="r462261dada594619a89b8a4d846616df-Comment"/>
        </ext>
      </extLst>
    </tableColumn>
    <tableColumn id="51" xr3:uid="{00000000-0010-0000-0000-000033000000}" name="Sense of presence and immersion.  How much did the auditory aspects of the environment involve you?    " dataDxfId="68">
      <extLst>
        <ext xmlns:xlmsforms="http://schemas.microsoft.com/office/spreadsheetml/2023/msForms" uri="{FCC71383-01E1-4257-9335-427F07BE8D7F}">
          <xlmsforms:question id="ra4a9c3ec18004f9bb1d5f6a155bcfd16"/>
        </ext>
      </extLst>
    </tableColumn>
    <tableColumn id="52" xr3:uid="{00000000-0010-0000-0000-000034000000}" name="Points - Sense of presence and immersion.  How much did the auditory aspects of the environment involve you?    " dataDxfId="67">
      <calculatedColumnFormula>_xlfn.XLOOKUP(AY2,Sheet2!$A$1:$A$7,Sheet2!$B$1:$B$7)</calculatedColumnFormula>
      <extLst>
        <ext xmlns:xlmsforms="http://schemas.microsoft.com/office/spreadsheetml/2023/msForms" uri="{FCC71383-01E1-4257-9335-427F07BE8D7F}">
          <xlmsforms:question id="ra4a9c3ec18004f9bb1d5f6a155bcfd16-Score"/>
        </ext>
      </extLst>
    </tableColumn>
    <tableColumn id="53" xr3:uid="{00000000-0010-0000-0000-000035000000}" name="Feedback - Sense of presence and immersion.  How much did the auditory aspects of the environment involve you?    " dataDxfId="66">
      <extLst>
        <ext xmlns:xlmsforms="http://schemas.microsoft.com/office/spreadsheetml/2023/msForms" uri="{FCC71383-01E1-4257-9335-427F07BE8D7F}">
          <xlmsforms:question id="ra4a9c3ec18004f9bb1d5f6a155bcfd16-Comment"/>
        </ext>
      </extLst>
    </tableColumn>
    <tableColumn id="54" xr3:uid="{00000000-0010-0000-0000-000036000000}" name="Sense of presence and immersion.  How compelling was your sense of objects moving through space?    " dataDxfId="65">
      <extLst>
        <ext xmlns:xlmsforms="http://schemas.microsoft.com/office/spreadsheetml/2023/msForms" uri="{FCC71383-01E1-4257-9335-427F07BE8D7F}">
          <xlmsforms:question id="re1aa06e8e02d4928b6aa1a325e76421a"/>
        </ext>
      </extLst>
    </tableColumn>
    <tableColumn id="55" xr3:uid="{00000000-0010-0000-0000-000037000000}" name="Points - Sense of presence and immersion.  How compelling was your sense of objects moving through space?    " dataDxfId="64">
      <calculatedColumnFormula>_xlfn.XLOOKUP(BB2,Sheet2!$A$1:$A$7,Sheet2!$B$1:$B$7)</calculatedColumnFormula>
      <extLst>
        <ext xmlns:xlmsforms="http://schemas.microsoft.com/office/spreadsheetml/2023/msForms" uri="{FCC71383-01E1-4257-9335-427F07BE8D7F}">
          <xlmsforms:question id="re1aa06e8e02d4928b6aa1a325e76421a-Score"/>
        </ext>
      </extLst>
    </tableColumn>
    <tableColumn id="56" xr3:uid="{00000000-0010-0000-0000-000038000000}" name="Feedback - Sense of presence and immersion.  How compelling was your sense of objects moving through space?    " dataDxfId="63">
      <extLst>
        <ext xmlns:xlmsforms="http://schemas.microsoft.com/office/spreadsheetml/2023/msForms" uri="{FCC71383-01E1-4257-9335-427F07BE8D7F}">
          <xlmsforms:question id="re1aa06e8e02d4928b6aa1a325e76421a-Comment"/>
        </ext>
      </extLst>
    </tableColumn>
    <tableColumn id="57" xr3:uid="{00000000-0010-0000-0000-000039000000}" name="Sense of presence and immersion.  How inconsistent or disconnected was the information coming from your various senses?    " dataDxfId="62">
      <extLst>
        <ext xmlns:xlmsforms="http://schemas.microsoft.com/office/spreadsheetml/2023/msForms" uri="{FCC71383-01E1-4257-9335-427F07BE8D7F}">
          <xlmsforms:question id="rbffed9864e35495eaecbdcc04efce21d"/>
        </ext>
      </extLst>
    </tableColumn>
    <tableColumn id="58" xr3:uid="{00000000-0010-0000-0000-00003A000000}" name="Points - Sense of presence and immersion.  How inconsistent or disconnected was the information coming from your various senses?    " dataDxfId="61">
      <calculatedColumnFormula>_xlfn.XLOOKUP(BE2,Sheet2!$A$1:$A$7,Sheet2!$B$1:$B$7)</calculatedColumnFormula>
      <extLst>
        <ext xmlns:xlmsforms="http://schemas.microsoft.com/office/spreadsheetml/2023/msForms" uri="{FCC71383-01E1-4257-9335-427F07BE8D7F}">
          <xlmsforms:question id="rbffed9864e35495eaecbdcc04efce21d-Score"/>
        </ext>
      </extLst>
    </tableColumn>
    <tableColumn id="59" xr3:uid="{00000000-0010-0000-0000-00003B000000}" name="Feedback - Sense of presence and immersion.  How inconsistent or disconnected was the information coming from your various senses?    " dataDxfId="60">
      <extLst>
        <ext xmlns:xlmsforms="http://schemas.microsoft.com/office/spreadsheetml/2023/msForms" uri="{FCC71383-01E1-4257-9335-427F07BE8D7F}">
          <xlmsforms:question id="rbffed9864e35495eaecbdcc04efce21d-Comment"/>
        </ext>
      </extLst>
    </tableColumn>
    <tableColumn id="60" xr3:uid="{00000000-0010-0000-0000-00003C000000}" name="Sense of presence and immersion.  How much did your experiences in the virtual environment seem consistent with your real-world experiences?    " dataDxfId="59">
      <extLst>
        <ext xmlns:xlmsforms="http://schemas.microsoft.com/office/spreadsheetml/2023/msForms" uri="{FCC71383-01E1-4257-9335-427F07BE8D7F}">
          <xlmsforms:question id="r80eaa3bcff944fb8a62e5f0dcf693d52"/>
        </ext>
      </extLst>
    </tableColumn>
    <tableColumn id="61" xr3:uid="{00000000-0010-0000-0000-00003D000000}" name="Points - Sense of presence and immersion.  How much did your experiences in the virtual environment seem consistent with your real-world experiences?    " dataDxfId="58">
      <calculatedColumnFormula>_xlfn.XLOOKUP(BH2,Sheet2!$A$1:$A$7,Sheet2!$B$1:$B$7)</calculatedColumnFormula>
      <extLst>
        <ext xmlns:xlmsforms="http://schemas.microsoft.com/office/spreadsheetml/2023/msForms" uri="{FCC71383-01E1-4257-9335-427F07BE8D7F}">
          <xlmsforms:question id="r80eaa3bcff944fb8a62e5f0dcf693d52-Score"/>
        </ext>
      </extLst>
    </tableColumn>
    <tableColumn id="62" xr3:uid="{00000000-0010-0000-0000-00003E000000}" name="Feedback - Sense of presence and immersion.  How much did your experiences in the virtual environment seem consistent with your real-world experiences?    " dataDxfId="57">
      <extLst>
        <ext xmlns:xlmsforms="http://schemas.microsoft.com/office/spreadsheetml/2023/msForms" uri="{FCC71383-01E1-4257-9335-427F07BE8D7F}">
          <xlmsforms:question id="r80eaa3bcff944fb8a62e5f0dcf693d52-Comment"/>
        </ext>
      </extLst>
    </tableColumn>
    <tableColumn id="63" xr3:uid="{00000000-0010-0000-0000-00003F000000}" name="Sense of presence and immersion.  How compelling was your sense of moving around inside the virtual environment?    " dataDxfId="56">
      <extLst>
        <ext xmlns:xlmsforms="http://schemas.microsoft.com/office/spreadsheetml/2023/msForms" uri="{FCC71383-01E1-4257-9335-427F07BE8D7F}">
          <xlmsforms:question id="raa81922faff3413982c4706d95eac848"/>
        </ext>
      </extLst>
    </tableColumn>
    <tableColumn id="64" xr3:uid="{00000000-0010-0000-0000-000040000000}" name="Points - Sense of presence and immersion.  How compelling was your sense of moving around inside the virtual environment?    " dataDxfId="55">
      <calculatedColumnFormula>_xlfn.XLOOKUP(BK2,Sheet2!$A$1:$A$7,Sheet2!$B$1:$B$7)</calculatedColumnFormula>
      <extLst>
        <ext xmlns:xlmsforms="http://schemas.microsoft.com/office/spreadsheetml/2023/msForms" uri="{FCC71383-01E1-4257-9335-427F07BE8D7F}">
          <xlmsforms:question id="raa81922faff3413982c4706d95eac848-Score"/>
        </ext>
      </extLst>
    </tableColumn>
    <tableColumn id="65" xr3:uid="{00000000-0010-0000-0000-000041000000}" name="Feedback - Sense of presence and immersion.  How compelling was your sense of moving around inside the virtual environment?    " dataDxfId="54">
      <extLst>
        <ext xmlns:xlmsforms="http://schemas.microsoft.com/office/spreadsheetml/2023/msForms" uri="{FCC71383-01E1-4257-9335-427F07BE8D7F}">
          <xlmsforms:question id="raa81922faff3413982c4706d95eac848-Comment"/>
        </ext>
      </extLst>
    </tableColumn>
    <tableColumn id="66" xr3:uid="{00000000-0010-0000-0000-000042000000}" name="Sense of presence and immersion.  How involved were you in the virtual environment experience?    " dataDxfId="53">
      <extLst>
        <ext xmlns:xlmsforms="http://schemas.microsoft.com/office/spreadsheetml/2023/msForms" uri="{FCC71383-01E1-4257-9335-427F07BE8D7F}">
          <xlmsforms:question id="r72c7115b03be4c88baab6a6a3a5bc4be"/>
        </ext>
      </extLst>
    </tableColumn>
    <tableColumn id="67" xr3:uid="{00000000-0010-0000-0000-000043000000}" name="Points - Sense of presence and immersion.  How involved were you in the virtual environment experience?    " dataDxfId="52">
      <calculatedColumnFormula>_xlfn.XLOOKUP(BN2,Sheet2!$A$1:$A$7,Sheet2!$B$1:$B$7)</calculatedColumnFormula>
      <extLst>
        <ext xmlns:xlmsforms="http://schemas.microsoft.com/office/spreadsheetml/2023/msForms" uri="{FCC71383-01E1-4257-9335-427F07BE8D7F}">
          <xlmsforms:question id="r72c7115b03be4c88baab6a6a3a5bc4be-Score"/>
        </ext>
      </extLst>
    </tableColumn>
    <tableColumn id="68" xr3:uid="{00000000-0010-0000-0000-000044000000}" name="Feedback - Sense of presence and immersion.  How involved were you in the virtual environment experience?    " dataDxfId="51">
      <extLst>
        <ext xmlns:xlmsforms="http://schemas.microsoft.com/office/spreadsheetml/2023/msForms" uri="{FCC71383-01E1-4257-9335-427F07BE8D7F}">
          <xlmsforms:question id="r72c7115b03be4c88baab6a6a3a5bc4be-Comment"/>
        </ext>
      </extLst>
    </tableColumn>
    <tableColumn id="69" xr3:uid="{00000000-0010-0000-0000-000045000000}" name="Sense of presence and immersion.  Were you involved in the experience to the extent that you lost track of time?    " dataDxfId="50">
      <extLst>
        <ext xmlns:xlmsforms="http://schemas.microsoft.com/office/spreadsheetml/2023/msForms" uri="{FCC71383-01E1-4257-9335-427F07BE8D7F}">
          <xlmsforms:question id="r4f841aa51999438182de923ba1ec62ff"/>
        </ext>
      </extLst>
    </tableColumn>
    <tableColumn id="70" xr3:uid="{00000000-0010-0000-0000-000046000000}" name="Points - Sense of presence and immersion.  Were you involved in the experience to the extent that you lost track of time?    " dataDxfId="49">
      <calculatedColumnFormula>_xlfn.XLOOKUP(BQ2,Sheet2!$A$1:$A$7,Sheet2!$B$1:$B$7)</calculatedColumnFormula>
      <extLst>
        <ext xmlns:xlmsforms="http://schemas.microsoft.com/office/spreadsheetml/2023/msForms" uri="{FCC71383-01E1-4257-9335-427F07BE8D7F}">
          <xlmsforms:question id="r4f841aa51999438182de923ba1ec62ff-Score"/>
        </ext>
      </extLst>
    </tableColumn>
    <tableColumn id="71" xr3:uid="{00000000-0010-0000-0000-000047000000}" name="Feedback - Sense of presence and immersion.  Were you involved in the experience to the extent that you lost track of time?    " dataDxfId="48">
      <extLst>
        <ext xmlns:xlmsforms="http://schemas.microsoft.com/office/spreadsheetml/2023/msForms" uri="{FCC71383-01E1-4257-9335-427F07BE8D7F}">
          <xlmsforms:question id="r4f841aa51999438182de923ba1ec62ff-Comment"/>
        </ext>
      </extLst>
    </tableColumn>
    <tableColumn id="72" xr3:uid="{00000000-0010-0000-0000-000048000000}" name="Points - Auditory perception" dataDxfId="47">
      <extLst>
        <ext xmlns:xlmsforms="http://schemas.microsoft.com/office/spreadsheetml/2023/msForms" uri="{FCC71383-01E1-4257-9335-427F07BE8D7F}">
          <xlmsforms:question id="r93f1ba00066341ae84d328de9680f329-Score"/>
        </ext>
      </extLst>
    </tableColumn>
    <tableColumn id="73" xr3:uid="{00000000-0010-0000-0000-000049000000}" name="Feedback - Auditory perception" dataDxfId="46">
      <extLst>
        <ext xmlns:xlmsforms="http://schemas.microsoft.com/office/spreadsheetml/2023/msForms" uri="{FCC71383-01E1-4257-9335-427F07BE8D7F}">
          <xlmsforms:question id="r93f1ba00066341ae84d328de9680f329-Comment"/>
        </ext>
      </extLst>
    </tableColumn>
    <tableColumn id="74" xr3:uid="{00000000-0010-0000-0000-00004A000000}" name="Auditory perception.  How well could you identify sounds?    " dataDxfId="45">
      <extLst>
        <ext xmlns:xlmsforms="http://schemas.microsoft.com/office/spreadsheetml/2023/msForms" uri="{FCC71383-01E1-4257-9335-427F07BE8D7F}">
          <xlmsforms:question id="rdfef58598ef84578bed7ace22cfc46f4"/>
        </ext>
      </extLst>
    </tableColumn>
    <tableColumn id="75" xr3:uid="{00000000-0010-0000-0000-00004B000000}" name="Points - Auditory perception.  How well could you identify sounds?    " dataDxfId="44">
      <calculatedColumnFormula>_xlfn.XLOOKUP(BV2,Sheet2!$A$1:$A$7,Sheet2!$B$1:$B$7)</calculatedColumnFormula>
      <extLst>
        <ext xmlns:xlmsforms="http://schemas.microsoft.com/office/spreadsheetml/2023/msForms" uri="{FCC71383-01E1-4257-9335-427F07BE8D7F}">
          <xlmsforms:question id="rdfef58598ef84578bed7ace22cfc46f4-Score"/>
        </ext>
      </extLst>
    </tableColumn>
    <tableColumn id="76" xr3:uid="{00000000-0010-0000-0000-00004C000000}" name="Feedback - Auditory perception.  How well could you identify sounds?    " dataDxfId="43">
      <extLst>
        <ext xmlns:xlmsforms="http://schemas.microsoft.com/office/spreadsheetml/2023/msForms" uri="{FCC71383-01E1-4257-9335-427F07BE8D7F}">
          <xlmsforms:question id="rdfef58598ef84578bed7ace22cfc46f4-Comment"/>
        </ext>
      </extLst>
    </tableColumn>
    <tableColumn id="77" xr3:uid="{00000000-0010-0000-0000-00004D000000}" name="Auditory perception.  How well could you localize sounds?    " dataDxfId="42">
      <extLst>
        <ext xmlns:xlmsforms="http://schemas.microsoft.com/office/spreadsheetml/2023/msForms" uri="{FCC71383-01E1-4257-9335-427F07BE8D7F}">
          <xlmsforms:question id="r6bc54d2b73b34550824faaa31a3b5844"/>
        </ext>
      </extLst>
    </tableColumn>
    <tableColumn id="78" xr3:uid="{00000000-0010-0000-0000-00004E000000}" name="Points - Auditory perception.  How well could you localize sounds?    " dataDxfId="41">
      <calculatedColumnFormula>_xlfn.XLOOKUP(BY2,Sheet2!$A$1:$A$7,Sheet2!$B$1:$B$7)</calculatedColumnFormula>
      <extLst>
        <ext xmlns:xlmsforms="http://schemas.microsoft.com/office/spreadsheetml/2023/msForms" uri="{FCC71383-01E1-4257-9335-427F07BE8D7F}">
          <xlmsforms:question id="r6bc54d2b73b34550824faaa31a3b5844-Score"/>
        </ext>
      </extLst>
    </tableColumn>
    <tableColumn id="79" xr3:uid="{00000000-0010-0000-0000-00004F000000}" name="Feedback - Auditory perception.  How well could you localize sounds?    " dataDxfId="40">
      <extLst>
        <ext xmlns:xlmsforms="http://schemas.microsoft.com/office/spreadsheetml/2023/msForms" uri="{FCC71383-01E1-4257-9335-427F07BE8D7F}">
          <xlmsforms:question id="r6bc54d2b73b34550824faaa31a3b5844-Comment"/>
        </ext>
      </extLst>
    </tableColumn>
    <tableColumn id="80" xr3:uid="{00000000-0010-0000-0000-000050000000}" name="Points - Navigation Experience" dataDxfId="39">
      <extLst>
        <ext xmlns:xlmsforms="http://schemas.microsoft.com/office/spreadsheetml/2023/msForms" uri="{FCC71383-01E1-4257-9335-427F07BE8D7F}">
          <xlmsforms:question id="r6d27672439df4b95b4d7edd7357d2e34-Score"/>
        </ext>
      </extLst>
    </tableColumn>
    <tableColumn id="81" xr3:uid="{00000000-0010-0000-0000-000051000000}" name="Feedback - Navigation Experience" dataDxfId="38">
      <extLst>
        <ext xmlns:xlmsforms="http://schemas.microsoft.com/office/spreadsheetml/2023/msForms" uri="{FCC71383-01E1-4257-9335-427F07BE8D7F}">
          <xlmsforms:question id="r6d27672439df4b95b4d7edd7357d2e34-Comment"/>
        </ext>
      </extLst>
    </tableColumn>
    <tableColumn id="82" xr3:uid="{00000000-0010-0000-0000-000052000000}" name="Navigation Experience.  How easy was it to find your way through the environment?    " dataDxfId="37">
      <extLst>
        <ext xmlns:xlmsforms="http://schemas.microsoft.com/office/spreadsheetml/2023/msForms" uri="{FCC71383-01E1-4257-9335-427F07BE8D7F}">
          <xlmsforms:question id="ra4516343198d45ab9f04c5ba029309ed"/>
        </ext>
      </extLst>
    </tableColumn>
    <tableColumn id="83" xr3:uid="{00000000-0010-0000-0000-000053000000}" name="Points - Navigation Experience.  How easy was it to find your way through the environment?    " dataDxfId="36">
      <calculatedColumnFormula>_xlfn.XLOOKUP(CD2,Sheet2!$A$1:$A$7,Sheet2!$B$1:$B$7)</calculatedColumnFormula>
      <extLst>
        <ext xmlns:xlmsforms="http://schemas.microsoft.com/office/spreadsheetml/2023/msForms" uri="{FCC71383-01E1-4257-9335-427F07BE8D7F}">
          <xlmsforms:question id="ra4516343198d45ab9f04c5ba029309ed-Score"/>
        </ext>
      </extLst>
    </tableColumn>
    <tableColumn id="84" xr3:uid="{00000000-0010-0000-0000-000054000000}" name="Feedback - Navigation Experience.  How easy was it to find your way through the environment?    " dataDxfId="35">
      <extLst>
        <ext xmlns:xlmsforms="http://schemas.microsoft.com/office/spreadsheetml/2023/msForms" uri="{FCC71383-01E1-4257-9335-427F07BE8D7F}">
          <xlmsforms:question id="ra4516343198d45ab9f04c5ba029309ed-Comment"/>
        </ext>
      </extLst>
    </tableColumn>
    <tableColumn id="85" xr3:uid="{00000000-0010-0000-0000-000055000000}" name="Navigation Experience.  How confident did you feel about where you were in the environment at any moment?    " dataDxfId="34">
      <extLst>
        <ext xmlns:xlmsforms="http://schemas.microsoft.com/office/spreadsheetml/2023/msForms" uri="{FCC71383-01E1-4257-9335-427F07BE8D7F}">
          <xlmsforms:question id="rb0586a10e622482bbf4509563b6c60fc"/>
        </ext>
      </extLst>
    </tableColumn>
    <tableColumn id="86" xr3:uid="{00000000-0010-0000-0000-000056000000}" name="Points - Navigation Experience.  How confident did you feel about where you were in the environment at any moment?    " dataDxfId="33">
      <calculatedColumnFormula>_xlfn.XLOOKUP(CG2,Sheet2!$A$1:$A$7,Sheet2!$B$1:$B$7)</calculatedColumnFormula>
      <extLst>
        <ext xmlns:xlmsforms="http://schemas.microsoft.com/office/spreadsheetml/2023/msForms" uri="{FCC71383-01E1-4257-9335-427F07BE8D7F}">
          <xlmsforms:question id="rb0586a10e622482bbf4509563b6c60fc-Score"/>
        </ext>
      </extLst>
    </tableColumn>
    <tableColumn id="87" xr3:uid="{00000000-0010-0000-0000-000057000000}" name="Feedback - Navigation Experience.  How confident did you feel about where you were in the environment at any moment?    " dataDxfId="32">
      <extLst>
        <ext xmlns:xlmsforms="http://schemas.microsoft.com/office/spreadsheetml/2023/msForms" uri="{FCC71383-01E1-4257-9335-427F07BE8D7F}">
          <xlmsforms:question id="rb0586a10e622482bbf4509563b6c60fc-Comment"/>
        </ext>
      </extLst>
    </tableColumn>
    <tableColumn id="88" xr3:uid="{00000000-0010-0000-0000-000058000000}" name="Navigation Experience.  To what extent did sounds help you decide where to go next?    " dataDxfId="31">
      <extLst>
        <ext xmlns:xlmsforms="http://schemas.microsoft.com/office/spreadsheetml/2023/msForms" uri="{FCC71383-01E1-4257-9335-427F07BE8D7F}">
          <xlmsforms:question id="rc753b98c8224416ab5a7c2531624f86c"/>
        </ext>
      </extLst>
    </tableColumn>
    <tableColumn id="89" xr3:uid="{00000000-0010-0000-0000-000059000000}" name="Points - Navigation Experience.  To what extent did sounds help you decide where to go next?    " dataDxfId="30">
      <calculatedColumnFormula>_xlfn.XLOOKUP(CJ2,Sheet2!$A$1:$A$7,Sheet2!$B$1:$B$7)</calculatedColumnFormula>
      <extLst>
        <ext xmlns:xlmsforms="http://schemas.microsoft.com/office/spreadsheetml/2023/msForms" uri="{FCC71383-01E1-4257-9335-427F07BE8D7F}">
          <xlmsforms:question id="rc753b98c8224416ab5a7c2531624f86c-Score"/>
        </ext>
      </extLst>
    </tableColumn>
    <tableColumn id="90" xr3:uid="{00000000-0010-0000-0000-00005A000000}" name="Feedback - Navigation Experience.  To what extent did sounds help you decide where to go next?    " dataDxfId="29">
      <extLst>
        <ext xmlns:xlmsforms="http://schemas.microsoft.com/office/spreadsheetml/2023/msForms" uri="{FCC71383-01E1-4257-9335-427F07BE8D7F}">
          <xlmsforms:question id="rc753b98c8224416ab5a7c2531624f86c-Comment"/>
        </ext>
      </extLst>
    </tableColumn>
    <tableColumn id="91" xr3:uid="{00000000-0010-0000-0000-00005B000000}" name="Navigation Experience.  To what extent did sounds distract you from navigation?    " dataDxfId="28">
      <extLst>
        <ext xmlns:xlmsforms="http://schemas.microsoft.com/office/spreadsheetml/2023/msForms" uri="{FCC71383-01E1-4257-9335-427F07BE8D7F}">
          <xlmsforms:question id="r0fe0faea22a24b438a17a00962b0992d"/>
        </ext>
      </extLst>
    </tableColumn>
    <tableColumn id="92" xr3:uid="{00000000-0010-0000-0000-00005C000000}" name="Points - Navigation Experience.  To what extent did sounds distract you from navigation?    " dataDxfId="27">
      <calculatedColumnFormula>_xlfn.XLOOKUP(CM2,Sheet2!$A$1:$A$7,Sheet2!$B$1:$B$7)</calculatedColumnFormula>
      <extLst>
        <ext xmlns:xlmsforms="http://schemas.microsoft.com/office/spreadsheetml/2023/msForms" uri="{FCC71383-01E1-4257-9335-427F07BE8D7F}">
          <xlmsforms:question id="r0fe0faea22a24b438a17a00962b0992d-Score"/>
        </ext>
      </extLst>
    </tableColumn>
    <tableColumn id="93" xr3:uid="{00000000-0010-0000-0000-00005D000000}" name="Feedback - Navigation Experience.  To what extent did sounds distract you from navigation?    " dataDxfId="26">
      <extLst>
        <ext xmlns:xlmsforms="http://schemas.microsoft.com/office/spreadsheetml/2023/msForms" uri="{FCC71383-01E1-4257-9335-427F07BE8D7F}">
          <xlmsforms:question id="r0fe0faea22a24b438a17a00962b0992d-Comment"/>
        </ext>
      </extLst>
    </tableColumn>
    <tableColumn id="94" xr3:uid="{00000000-0010-0000-0000-00005E000000}" name="Points - Post-Experience Affective State _x000a_" dataDxfId="25">
      <extLst>
        <ext xmlns:xlmsforms="http://schemas.microsoft.com/office/spreadsheetml/2023/msForms" uri="{FCC71383-01E1-4257-9335-427F07BE8D7F}">
          <xlmsforms:question id="r94c0b9045e604ae3a0f02880e3f21ac6-Score"/>
        </ext>
      </extLst>
    </tableColumn>
    <tableColumn id="95" xr3:uid="{00000000-0010-0000-0000-00005F000000}" name="Feedback - Post-Experience Affective State _x000a_" dataDxfId="24">
      <extLst>
        <ext xmlns:xlmsforms="http://schemas.microsoft.com/office/spreadsheetml/2023/msForms" uri="{FCC71383-01E1-4257-9335-427F07BE8D7F}">
          <xlmsforms:question id="r94c0b9045e604ae3a0f02880e3f21ac6-Comment"/>
        </ext>
      </extLst>
    </tableColumn>
    <tableColumn id="96" xr3:uid="{00000000-0010-0000-0000-000060000000}" name="Post-Experience Affective State _x000a_.  I feel calm" dataDxfId="23">
      <extLst>
        <ext xmlns:xlmsforms="http://schemas.microsoft.com/office/spreadsheetml/2023/msForms" uri="{FCC71383-01E1-4257-9335-427F07BE8D7F}">
          <xlmsforms:question id="rf17088d2e70143f6a8f184f87149ca05"/>
        </ext>
      </extLst>
    </tableColumn>
    <tableColumn id="97" xr3:uid="{00000000-0010-0000-0000-000061000000}" name="Points - Post-Experience Affective State _x000a_.  I feel calm" dataDxfId="22">
      <calculatedColumnFormula>_xlfn.XLOOKUP(CR2,Sheet2!$A$1:$A$7,Sheet2!$B$1:$B$7)</calculatedColumnFormula>
      <extLst>
        <ext xmlns:xlmsforms="http://schemas.microsoft.com/office/spreadsheetml/2023/msForms" uri="{FCC71383-01E1-4257-9335-427F07BE8D7F}">
          <xlmsforms:question id="rf17088d2e70143f6a8f184f87149ca05-Score"/>
        </ext>
      </extLst>
    </tableColumn>
    <tableColumn id="98" xr3:uid="{00000000-0010-0000-0000-000062000000}" name="Feedback - Post-Experience Affective State _x000a_.  I feel calm" dataDxfId="21">
      <extLst>
        <ext xmlns:xlmsforms="http://schemas.microsoft.com/office/spreadsheetml/2023/msForms" uri="{FCC71383-01E1-4257-9335-427F07BE8D7F}">
          <xlmsforms:question id="rf17088d2e70143f6a8f184f87149ca05-Comment"/>
        </ext>
      </extLst>
    </tableColumn>
    <tableColumn id="99" xr3:uid="{00000000-0010-0000-0000-000063000000}" name="Post-Experience Affective State _x000a_.  I feel tense" dataDxfId="20">
      <extLst>
        <ext xmlns:xlmsforms="http://schemas.microsoft.com/office/spreadsheetml/2023/msForms" uri="{FCC71383-01E1-4257-9335-427F07BE8D7F}">
          <xlmsforms:question id="ra80a9ca9823c4d2e9c965a825fd24733"/>
        </ext>
      </extLst>
    </tableColumn>
    <tableColumn id="100" xr3:uid="{00000000-0010-0000-0000-000064000000}" name="Points - Post-Experience Affective State _x000a_.  I feel tense" dataDxfId="19">
      <calculatedColumnFormula>_xlfn.XLOOKUP(CU2,Sheet2!$A$1:$A$7,Sheet2!$B$1:$B$7)</calculatedColumnFormula>
      <extLst>
        <ext xmlns:xlmsforms="http://schemas.microsoft.com/office/spreadsheetml/2023/msForms" uri="{FCC71383-01E1-4257-9335-427F07BE8D7F}">
          <xlmsforms:question id="ra80a9ca9823c4d2e9c965a825fd24733-Score"/>
        </ext>
      </extLst>
    </tableColumn>
    <tableColumn id="101" xr3:uid="{00000000-0010-0000-0000-000065000000}" name="Feedback - Post-Experience Affective State _x000a_.  I feel tense" dataDxfId="18">
      <extLst>
        <ext xmlns:xlmsforms="http://schemas.microsoft.com/office/spreadsheetml/2023/msForms" uri="{FCC71383-01E1-4257-9335-427F07BE8D7F}">
          <xlmsforms:question id="ra80a9ca9823c4d2e9c965a825fd24733-Comment"/>
        </ext>
      </extLst>
    </tableColumn>
    <tableColumn id="102" xr3:uid="{00000000-0010-0000-0000-000066000000}" name="Post-Experience Affective State _x000a_.  I feel relaxed" dataDxfId="17">
      <extLst>
        <ext xmlns:xlmsforms="http://schemas.microsoft.com/office/spreadsheetml/2023/msForms" uri="{FCC71383-01E1-4257-9335-427F07BE8D7F}">
          <xlmsforms:question id="r09e5ef1c113a4262ae7ed3b9da4c9f1b"/>
        </ext>
      </extLst>
    </tableColumn>
    <tableColumn id="103" xr3:uid="{00000000-0010-0000-0000-000067000000}" name="Points - Post-Experience Affective State _x000a_.  I feel relaxed" dataDxfId="16">
      <calculatedColumnFormula>_xlfn.XLOOKUP(CX2,Sheet2!$A$1:$A$7,Sheet2!$B$1:$B$7)</calculatedColumnFormula>
      <extLst>
        <ext xmlns:xlmsforms="http://schemas.microsoft.com/office/spreadsheetml/2023/msForms" uri="{FCC71383-01E1-4257-9335-427F07BE8D7F}">
          <xlmsforms:question id="r09e5ef1c113a4262ae7ed3b9da4c9f1b-Score"/>
        </ext>
      </extLst>
    </tableColumn>
    <tableColumn id="104" xr3:uid="{00000000-0010-0000-0000-000068000000}" name="Feedback - Post-Experience Affective State _x000a_.  I feel relaxed" dataDxfId="15">
      <extLst>
        <ext xmlns:xlmsforms="http://schemas.microsoft.com/office/spreadsheetml/2023/msForms" uri="{FCC71383-01E1-4257-9335-427F07BE8D7F}">
          <xlmsforms:question id="r09e5ef1c113a4262ae7ed3b9da4c9f1b-Comment"/>
        </ext>
      </extLst>
    </tableColumn>
    <tableColumn id="105" xr3:uid="{00000000-0010-0000-0000-000069000000}" name="Post-Experience Affective State _x000a_.  I feel stressed" dataDxfId="14">
      <extLst>
        <ext xmlns:xlmsforms="http://schemas.microsoft.com/office/spreadsheetml/2023/msForms" uri="{FCC71383-01E1-4257-9335-427F07BE8D7F}">
          <xlmsforms:question id="ra064cafe898e442487f264a6bfc03fa4"/>
        </ext>
      </extLst>
    </tableColumn>
    <tableColumn id="106" xr3:uid="{00000000-0010-0000-0000-00006A000000}" name="Points - Post-Experience Affective State _x000a_.  I feel stressed" dataDxfId="13">
      <calculatedColumnFormula>_xlfn.XLOOKUP(DA2,Sheet2!$A$1:$A$7,Sheet2!$B$1:$B$7)</calculatedColumnFormula>
      <extLst>
        <ext xmlns:xlmsforms="http://schemas.microsoft.com/office/spreadsheetml/2023/msForms" uri="{FCC71383-01E1-4257-9335-427F07BE8D7F}">
          <xlmsforms:question id="ra064cafe898e442487f264a6bfc03fa4-Score"/>
        </ext>
      </extLst>
    </tableColumn>
    <tableColumn id="107" xr3:uid="{00000000-0010-0000-0000-00006B000000}" name="Feedback - Post-Experience Affective State _x000a_.  I feel stressed" dataDxfId="12">
      <extLst>
        <ext xmlns:xlmsforms="http://schemas.microsoft.com/office/spreadsheetml/2023/msForms" uri="{FCC71383-01E1-4257-9335-427F07BE8D7F}">
          <xlmsforms:question id="ra064cafe898e442487f264a6bfc03fa4-Comment"/>
        </ext>
      </extLst>
    </tableColumn>
    <tableColumn id="108" xr3:uid="{00000000-0010-0000-0000-00006C000000}" name="Points - Physical Comfort" dataDxfId="11">
      <extLst>
        <ext xmlns:xlmsforms="http://schemas.microsoft.com/office/spreadsheetml/2023/msForms" uri="{FCC71383-01E1-4257-9335-427F07BE8D7F}">
          <xlmsforms:question id="r9b3803f433a0493b8aa8f8e609d7bb02-Score"/>
        </ext>
      </extLst>
    </tableColumn>
    <tableColumn id="109" xr3:uid="{00000000-0010-0000-0000-00006D000000}" name="Feedback - Physical Comfort" dataDxfId="10">
      <extLst>
        <ext xmlns:xlmsforms="http://schemas.microsoft.com/office/spreadsheetml/2023/msForms" uri="{FCC71383-01E1-4257-9335-427F07BE8D7F}">
          <xlmsforms:question id="r9b3803f433a0493b8aa8f8e609d7bb02-Comment"/>
        </ext>
      </extLst>
    </tableColumn>
    <tableColumn id="110" xr3:uid="{00000000-0010-0000-0000-00006E000000}" name="Physical Comfort.  I felt disoriented during or after the experience.    " dataDxfId="9">
      <extLst>
        <ext xmlns:xlmsforms="http://schemas.microsoft.com/office/spreadsheetml/2023/msForms" uri="{FCC71383-01E1-4257-9335-427F07BE8D7F}">
          <xlmsforms:question id="r574767c2daaa40cda8f71610e4d344e4"/>
        </ext>
      </extLst>
    </tableColumn>
    <tableColumn id="111" xr3:uid="{00000000-0010-0000-0000-00006F000000}" name="Points - Physical Comfort.  I felt disoriented during or after the experience.    " dataDxfId="8">
      <calculatedColumnFormula>_xlfn.XLOOKUP(DF2,Sheet2!$A$1:$A$7,Sheet2!$B$1:$B$7)</calculatedColumnFormula>
      <extLst>
        <ext xmlns:xlmsforms="http://schemas.microsoft.com/office/spreadsheetml/2023/msForms" uri="{FCC71383-01E1-4257-9335-427F07BE8D7F}">
          <xlmsforms:question id="r574767c2daaa40cda8f71610e4d344e4-Score"/>
        </ext>
      </extLst>
    </tableColumn>
    <tableColumn id="112" xr3:uid="{00000000-0010-0000-0000-000070000000}" name="Feedback - Physical Comfort.  I felt disoriented during or after the experience.    " dataDxfId="7">
      <extLst>
        <ext xmlns:xlmsforms="http://schemas.microsoft.com/office/spreadsheetml/2023/msForms" uri="{FCC71383-01E1-4257-9335-427F07BE8D7F}">
          <xlmsforms:question id="r574767c2daaa40cda8f71610e4d344e4-Comment"/>
        </ext>
      </extLst>
    </tableColumn>
    <tableColumn id="113" xr3:uid="{00000000-0010-0000-0000-000071000000}" name="Physical Comfort.  I felt physically uncomfortable during the experience.    " dataDxfId="6">
      <extLst>
        <ext xmlns:xlmsforms="http://schemas.microsoft.com/office/spreadsheetml/2023/msForms" uri="{FCC71383-01E1-4257-9335-427F07BE8D7F}">
          <xlmsforms:question id="rda152f9b21bc4ef297a4cfbf526a3ed7"/>
        </ext>
      </extLst>
    </tableColumn>
    <tableColumn id="114" xr3:uid="{00000000-0010-0000-0000-000072000000}" name="Points - Physical Comfort.  I felt physically uncomfortable during the experience.    " dataDxfId="5">
      <calculatedColumnFormula>_xlfn.XLOOKUP(DI2,Sheet2!$A$1:$A$7,Sheet2!$B$1:$B$7)</calculatedColumnFormula>
      <extLst>
        <ext xmlns:xlmsforms="http://schemas.microsoft.com/office/spreadsheetml/2023/msForms" uri="{FCC71383-01E1-4257-9335-427F07BE8D7F}">
          <xlmsforms:question id="rda152f9b21bc4ef297a4cfbf526a3ed7-Score"/>
        </ext>
      </extLst>
    </tableColumn>
    <tableColumn id="115" xr3:uid="{00000000-0010-0000-0000-000073000000}" name="Feedback - Physical Comfort.  I felt physically uncomfortable during the experience.    " dataDxfId="4">
      <extLst>
        <ext xmlns:xlmsforms="http://schemas.microsoft.com/office/spreadsheetml/2023/msForms" uri="{FCC71383-01E1-4257-9335-427F07BE8D7F}">
          <xlmsforms:question id="rda152f9b21bc4ef297a4cfbf526a3ed7-Comment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Sbrb9QbOb0msPgzxQ2HZNIbgeWGJFdhIgrm7LSDaL3pUQlhRQkZXT0VTOUdERkk2MVZXQjZEVUNKUi4u" isFormConnected="1" maxResponseId="13" latestEventMarker="1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rf6514283c8dc40a39c58a38e47e95f3a-Score</xlmsforms:syncedQuestionId>
        <xlmsforms:syncedQuestionId>rf6514283c8dc40a39c58a38e47e95f3a-Comment</xlmsforms:syncedQuestionId>
        <xlmsforms:syncedQuestionId>r13e30ac9b2d84f52b731807fe62bf48c</xlmsforms:syncedQuestionId>
        <xlmsforms:syncedQuestionId>r13e30ac9b2d84f52b731807fe62bf48c-Score</xlmsforms:syncedQuestionId>
        <xlmsforms:syncedQuestionId>r13e30ac9b2d84f52b731807fe62bf48c-Comment</xlmsforms:syncedQuestionId>
        <xlmsforms:syncedQuestionId>r3d65bcb7a3af42fba2c1520ba12385e5</xlmsforms:syncedQuestionId>
        <xlmsforms:syncedQuestionId>r3d65bcb7a3af42fba2c1520ba12385e5-Score</xlmsforms:syncedQuestionId>
        <xlmsforms:syncedQuestionId>r3d65bcb7a3af42fba2c1520ba12385e5-Comment</xlmsforms:syncedQuestionId>
        <xlmsforms:syncedQuestionId>rbe71cfb579634ead97ffa39b9e6ea27a</xlmsforms:syncedQuestionId>
        <xlmsforms:syncedQuestionId>rbe71cfb579634ead97ffa39b9e6ea27a-Score</xlmsforms:syncedQuestionId>
        <xlmsforms:syncedQuestionId>rbe71cfb579634ead97ffa39b9e6ea27a-Comment</xlmsforms:syncedQuestionId>
        <xlmsforms:syncedQuestionId>r635d734ea73b4bebbc6e1322b3bb1671</xlmsforms:syncedQuestionId>
        <xlmsforms:syncedQuestionId>r635d734ea73b4bebbc6e1322b3bb1671-Score</xlmsforms:syncedQuestionId>
        <xlmsforms:syncedQuestionId>r635d734ea73b4bebbc6e1322b3bb1671-Comment</xlmsforms:syncedQuestionId>
        <xlmsforms:syncedQuestionId>r0e11500b69da4d2689430428c0c775a9-Score</xlmsforms:syncedQuestionId>
        <xlmsforms:syncedQuestionId>r0e11500b69da4d2689430428c0c775a9-Comment</xlmsforms:syncedQuestionId>
        <xlmsforms:syncedQuestionId>r5699b77062074106a877f84cecc58d1d</xlmsforms:syncedQuestionId>
        <xlmsforms:syncedQuestionId>r5699b77062074106a877f84cecc58d1d-Score</xlmsforms:syncedQuestionId>
        <xlmsforms:syncedQuestionId>r5699b77062074106a877f84cecc58d1d-Comment</xlmsforms:syncedQuestionId>
        <xlmsforms:syncedQuestionId>rb2a75cb2d5e94a47b434f51c1abebdc2</xlmsforms:syncedQuestionId>
        <xlmsforms:syncedQuestionId>rb2a75cb2d5e94a47b434f51c1abebdc2-Score</xlmsforms:syncedQuestionId>
        <xlmsforms:syncedQuestionId>rb2a75cb2d5e94a47b434f51c1abebdc2-Comment</xlmsforms:syncedQuestionId>
        <xlmsforms:syncedQuestionId>r42f49f6743a64cbebba7ded84f12b08d</xlmsforms:syncedQuestionId>
        <xlmsforms:syncedQuestionId>r42f49f6743a64cbebba7ded84f12b08d-Score</xlmsforms:syncedQuestionId>
        <xlmsforms:syncedQuestionId>r42f49f6743a64cbebba7ded84f12b08d-Comment</xlmsforms:syncedQuestionId>
        <xlmsforms:syncedQuestionId>r109698fc54824aa9915fac37a7884270-Score</xlmsforms:syncedQuestionId>
        <xlmsforms:syncedQuestionId>r109698fc54824aa9915fac37a7884270-Comment</xlmsforms:syncedQuestionId>
        <xlmsforms:syncedQuestionId>rde67ef3a2d8f42838c4bb0913f181471</xlmsforms:syncedQuestionId>
        <xlmsforms:syncedQuestionId>rde67ef3a2d8f42838c4bb0913f181471-Score</xlmsforms:syncedQuestionId>
        <xlmsforms:syncedQuestionId>rde67ef3a2d8f42838c4bb0913f181471-Comment</xlmsforms:syncedQuestionId>
        <xlmsforms:syncedQuestionId>reea3be3fc7e94a12a409c6ad93d3bb59</xlmsforms:syncedQuestionId>
        <xlmsforms:syncedQuestionId>reea3be3fc7e94a12a409c6ad93d3bb59-Score</xlmsforms:syncedQuestionId>
        <xlmsforms:syncedQuestionId>reea3be3fc7e94a12a409c6ad93d3bb59-Comment</xlmsforms:syncedQuestionId>
        <xlmsforms:syncedQuestionId>r00281dea8aa043788c48b6dab078fb34</xlmsforms:syncedQuestionId>
        <xlmsforms:syncedQuestionId>r00281dea8aa043788c48b6dab078fb34-Score</xlmsforms:syncedQuestionId>
        <xlmsforms:syncedQuestionId>r00281dea8aa043788c48b6dab078fb34-Comment</xlmsforms:syncedQuestionId>
        <xlmsforms:syncedQuestionId>re7d6aba0787e49cda2c592b4aeedadb0</xlmsforms:syncedQuestionId>
        <xlmsforms:syncedQuestionId>re7d6aba0787e49cda2c592b4aeedadb0-Score</xlmsforms:syncedQuestionId>
        <xlmsforms:syncedQuestionId>re7d6aba0787e49cda2c592b4aeedadb0-Comment</xlmsforms:syncedQuestionId>
        <xlmsforms:syncedQuestionId>r462261dada594619a89b8a4d846616df</xlmsforms:syncedQuestionId>
        <xlmsforms:syncedQuestionId>r462261dada594619a89b8a4d846616df-Score</xlmsforms:syncedQuestionId>
        <xlmsforms:syncedQuestionId>r462261dada594619a89b8a4d846616df-Comment</xlmsforms:syncedQuestionId>
        <xlmsforms:syncedQuestionId>ra4a9c3ec18004f9bb1d5f6a155bcfd16</xlmsforms:syncedQuestionId>
        <xlmsforms:syncedQuestionId>ra4a9c3ec18004f9bb1d5f6a155bcfd16-Score</xlmsforms:syncedQuestionId>
        <xlmsforms:syncedQuestionId>ra4a9c3ec18004f9bb1d5f6a155bcfd16-Comment</xlmsforms:syncedQuestionId>
        <xlmsforms:syncedQuestionId>re1aa06e8e02d4928b6aa1a325e76421a</xlmsforms:syncedQuestionId>
        <xlmsforms:syncedQuestionId>re1aa06e8e02d4928b6aa1a325e76421a-Score</xlmsforms:syncedQuestionId>
        <xlmsforms:syncedQuestionId>re1aa06e8e02d4928b6aa1a325e76421a-Comment</xlmsforms:syncedQuestionId>
        <xlmsforms:syncedQuestionId>rbffed9864e35495eaecbdcc04efce21d</xlmsforms:syncedQuestionId>
        <xlmsforms:syncedQuestionId>rbffed9864e35495eaecbdcc04efce21d-Score</xlmsforms:syncedQuestionId>
        <xlmsforms:syncedQuestionId>rbffed9864e35495eaecbdcc04efce21d-Comment</xlmsforms:syncedQuestionId>
        <xlmsforms:syncedQuestionId>r80eaa3bcff944fb8a62e5f0dcf693d52</xlmsforms:syncedQuestionId>
        <xlmsforms:syncedQuestionId>r80eaa3bcff944fb8a62e5f0dcf693d52-Score</xlmsforms:syncedQuestionId>
        <xlmsforms:syncedQuestionId>r80eaa3bcff944fb8a62e5f0dcf693d52-Comment</xlmsforms:syncedQuestionId>
        <xlmsforms:syncedQuestionId>raa81922faff3413982c4706d95eac848</xlmsforms:syncedQuestionId>
        <xlmsforms:syncedQuestionId>raa81922faff3413982c4706d95eac848-Score</xlmsforms:syncedQuestionId>
        <xlmsforms:syncedQuestionId>raa81922faff3413982c4706d95eac848-Comment</xlmsforms:syncedQuestionId>
        <xlmsforms:syncedQuestionId>r72c7115b03be4c88baab6a6a3a5bc4be</xlmsforms:syncedQuestionId>
        <xlmsforms:syncedQuestionId>r72c7115b03be4c88baab6a6a3a5bc4be-Score</xlmsforms:syncedQuestionId>
        <xlmsforms:syncedQuestionId>r72c7115b03be4c88baab6a6a3a5bc4be-Comment</xlmsforms:syncedQuestionId>
        <xlmsforms:syncedQuestionId>r4f841aa51999438182de923ba1ec62ff</xlmsforms:syncedQuestionId>
        <xlmsforms:syncedQuestionId>r4f841aa51999438182de923ba1ec62ff-Score</xlmsforms:syncedQuestionId>
        <xlmsforms:syncedQuestionId>r4f841aa51999438182de923ba1ec62ff-Comment</xlmsforms:syncedQuestionId>
        <xlmsforms:syncedQuestionId>r93f1ba00066341ae84d328de9680f329-Score</xlmsforms:syncedQuestionId>
        <xlmsforms:syncedQuestionId>r93f1ba00066341ae84d328de9680f329-Comment</xlmsforms:syncedQuestionId>
        <xlmsforms:syncedQuestionId>rdfef58598ef84578bed7ace22cfc46f4</xlmsforms:syncedQuestionId>
        <xlmsforms:syncedQuestionId>rdfef58598ef84578bed7ace22cfc46f4-Score</xlmsforms:syncedQuestionId>
        <xlmsforms:syncedQuestionId>rdfef58598ef84578bed7ace22cfc46f4-Comment</xlmsforms:syncedQuestionId>
        <xlmsforms:syncedQuestionId>r6bc54d2b73b34550824faaa31a3b5844</xlmsforms:syncedQuestionId>
        <xlmsforms:syncedQuestionId>r6bc54d2b73b34550824faaa31a3b5844-Score</xlmsforms:syncedQuestionId>
        <xlmsforms:syncedQuestionId>r6bc54d2b73b34550824faaa31a3b5844-Comment</xlmsforms:syncedQuestionId>
        <xlmsforms:syncedQuestionId>r6d27672439df4b95b4d7edd7357d2e34-Score</xlmsforms:syncedQuestionId>
        <xlmsforms:syncedQuestionId>r6d27672439df4b95b4d7edd7357d2e34-Comment</xlmsforms:syncedQuestionId>
        <xlmsforms:syncedQuestionId>ra4516343198d45ab9f04c5ba029309ed</xlmsforms:syncedQuestionId>
        <xlmsforms:syncedQuestionId>ra4516343198d45ab9f04c5ba029309ed-Score</xlmsforms:syncedQuestionId>
        <xlmsforms:syncedQuestionId>ra4516343198d45ab9f04c5ba029309ed-Comment</xlmsforms:syncedQuestionId>
        <xlmsforms:syncedQuestionId>rb0586a10e622482bbf4509563b6c60fc</xlmsforms:syncedQuestionId>
        <xlmsforms:syncedQuestionId>rb0586a10e622482bbf4509563b6c60fc-Score</xlmsforms:syncedQuestionId>
        <xlmsforms:syncedQuestionId>rb0586a10e622482bbf4509563b6c60fc-Comment</xlmsforms:syncedQuestionId>
        <xlmsforms:syncedQuestionId>rc753b98c8224416ab5a7c2531624f86c</xlmsforms:syncedQuestionId>
        <xlmsforms:syncedQuestionId>rc753b98c8224416ab5a7c2531624f86c-Score</xlmsforms:syncedQuestionId>
        <xlmsforms:syncedQuestionId>rc753b98c8224416ab5a7c2531624f86c-Comment</xlmsforms:syncedQuestionId>
        <xlmsforms:syncedQuestionId>r0fe0faea22a24b438a17a00962b0992d</xlmsforms:syncedQuestionId>
        <xlmsforms:syncedQuestionId>r0fe0faea22a24b438a17a00962b0992d-Score</xlmsforms:syncedQuestionId>
        <xlmsforms:syncedQuestionId>r0fe0faea22a24b438a17a00962b0992d-Comment</xlmsforms:syncedQuestionId>
        <xlmsforms:syncedQuestionId>r94c0b9045e604ae3a0f02880e3f21ac6-Score</xlmsforms:syncedQuestionId>
        <xlmsforms:syncedQuestionId>r94c0b9045e604ae3a0f02880e3f21ac6-Comment</xlmsforms:syncedQuestionId>
        <xlmsforms:syncedQuestionId>rf17088d2e70143f6a8f184f87149ca05</xlmsforms:syncedQuestionId>
        <xlmsforms:syncedQuestionId>rf17088d2e70143f6a8f184f87149ca05-Score</xlmsforms:syncedQuestionId>
        <xlmsforms:syncedQuestionId>rf17088d2e70143f6a8f184f87149ca05-Comment</xlmsforms:syncedQuestionId>
        <xlmsforms:syncedQuestionId>ra80a9ca9823c4d2e9c965a825fd24733</xlmsforms:syncedQuestionId>
        <xlmsforms:syncedQuestionId>ra80a9ca9823c4d2e9c965a825fd24733-Score</xlmsforms:syncedQuestionId>
        <xlmsforms:syncedQuestionId>ra80a9ca9823c4d2e9c965a825fd24733-Comment</xlmsforms:syncedQuestionId>
        <xlmsforms:syncedQuestionId>r09e5ef1c113a4262ae7ed3b9da4c9f1b</xlmsforms:syncedQuestionId>
        <xlmsforms:syncedQuestionId>r09e5ef1c113a4262ae7ed3b9da4c9f1b-Score</xlmsforms:syncedQuestionId>
        <xlmsforms:syncedQuestionId>r09e5ef1c113a4262ae7ed3b9da4c9f1b-Comment</xlmsforms:syncedQuestionId>
        <xlmsforms:syncedQuestionId>ra064cafe898e442487f264a6bfc03fa4</xlmsforms:syncedQuestionId>
        <xlmsforms:syncedQuestionId>ra064cafe898e442487f264a6bfc03fa4-Score</xlmsforms:syncedQuestionId>
        <xlmsforms:syncedQuestionId>ra064cafe898e442487f264a6bfc03fa4-Comment</xlmsforms:syncedQuestionId>
        <xlmsforms:syncedQuestionId>r9b3803f433a0493b8aa8f8e609d7bb02-Score</xlmsforms:syncedQuestionId>
        <xlmsforms:syncedQuestionId>r9b3803f433a0493b8aa8f8e609d7bb02-Comment</xlmsforms:syncedQuestionId>
        <xlmsforms:syncedQuestionId>r574767c2daaa40cda8f71610e4d344e4</xlmsforms:syncedQuestionId>
        <xlmsforms:syncedQuestionId>r574767c2daaa40cda8f71610e4d344e4-Score</xlmsforms:syncedQuestionId>
        <xlmsforms:syncedQuestionId>r574767c2daaa40cda8f71610e4d344e4-Comment</xlmsforms:syncedQuestionId>
        <xlmsforms:syncedQuestionId>rda152f9b21bc4ef297a4cfbf526a3ed7</xlmsforms:syncedQuestionId>
        <xlmsforms:syncedQuestionId>rda152f9b21bc4ef297a4cfbf526a3ed7-Score</xlmsforms:syncedQuestionId>
        <xlmsforms:syncedQuestionId>rda152f9b21bc4ef297a4cfbf526a3ed7-Comment</xlmsforms:syncedQuestionId>
      </xlmsforms:msForm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CDA8C5-3BF2-4F9C-B0F8-63D7EB4FD942}" name="OfficeForms_Table" displayName="OfficeForms_Table" ref="A1:D32" tableType="queryTable" totalsRowShown="0">
  <autoFilter ref="A1:D32" xr:uid="{03CDA8C5-3BF2-4F9C-B0F8-63D7EB4FD942}"/>
  <tableColumns count="4">
    <tableColumn id="2" xr3:uid="{F72CAEE4-0816-4793-8399-C56433FF71C2}" uniqueName="2" name="Question" queryTableFieldId="6" dataDxfId="3"/>
    <tableColumn id="3" xr3:uid="{FDE72758-BFE7-4872-A522-831A9D449412}" uniqueName="3" name="Attribute" queryTableFieldId="7" dataDxfId="2"/>
    <tableColumn id="4" xr3:uid="{F43ABBE6-AE50-44DB-9029-EFEEBC7747D4}" uniqueName="4" name="Congruent" queryTableFieldId="11"/>
    <tableColumn id="5" xr3:uid="{B330CBE3-D4A3-48F5-A430-C801DE601180}" uniqueName="5" name="Incongruent" queryTableField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EF3F79-59CF-459D-AF04-528B2B7B412C}" name="OfficeForms_Table_Clean" displayName="OfficeForms_Table_Clean" ref="A1:BN14" tableType="queryTable" totalsRowShown="0">
  <autoFilter ref="A1:BN14" xr:uid="{D1EF3F79-59CF-459D-AF04-528B2B7B412C}"/>
  <tableColumns count="66">
    <tableColumn id="1" xr3:uid="{B18DB485-5999-4D3F-A211-7C98D5D89435}" uniqueName="1" name="Id" queryTableFieldId="1"/>
    <tableColumn id="2" xr3:uid="{4D0D5A02-9D90-41D6-8459-462D616DBA44}" uniqueName="2" name="Start time" queryTableFieldId="2" dataDxfId="1"/>
    <tableColumn id="3" xr3:uid="{04BAA4EC-E3D1-4565-AEB6-FED36518D43E}" uniqueName="3" name="Completion time" queryTableFieldId="3" dataDxfId="0"/>
    <tableColumn id="4" xr3:uid="{7F98706A-C17B-44C8-91AC-4404B8797B0A}" uniqueName="4" name="Email" queryTableFieldId="4"/>
    <tableColumn id="5" xr3:uid="{937858EE-8D7C-456D-9BB5-3BF84A11542C}" uniqueName="5" name="Current Affective State _x000a_.  I feel calm" queryTableFieldId="5"/>
    <tableColumn id="6" xr3:uid="{29B77D47-E1A6-4AA7-B3B4-2D6FC5A21A01}" uniqueName="6" name="Points - Current Affective State _x000a_.  I feel calm" queryTableFieldId="6"/>
    <tableColumn id="7" xr3:uid="{3CE6829A-5D77-4B28-BEEA-9F91511A4448}" uniqueName="7" name="Current Affective State _x000a_.  I feel tense" queryTableFieldId="7"/>
    <tableColumn id="8" xr3:uid="{2E21E58A-7D24-4B94-8B13-7D87942C8C7B}" uniqueName="8" name="Points - Current Affective State _x000a_.  I feel tense" queryTableFieldId="8"/>
    <tableColumn id="9" xr3:uid="{06AACDED-D857-42AC-A36A-68C4C8FC9C02}" uniqueName="9" name="Current Affective State _x000a_.  I feel relaxed" queryTableFieldId="9"/>
    <tableColumn id="10" xr3:uid="{FDAD27DE-7623-4D85-9E71-387F8E0F8AFB}" uniqueName="10" name="Points - Current Affective State _x000a_.  I feel relaxed" queryTableFieldId="10"/>
    <tableColumn id="11" xr3:uid="{608027A5-64E4-4215-B817-F086688E95B3}" uniqueName="11" name="Current Affective State _x000a_.  I feel stressed" queryTableFieldId="11"/>
    <tableColumn id="12" xr3:uid="{B7725B89-C0EC-446C-BFAD-9D292F905A21}" uniqueName="12" name="Points - Current Affective State _x000a_.  I feel stressed" queryTableFieldId="12"/>
    <tableColumn id="13" xr3:uid="{55EA994D-F449-4AE5-B2ED-756BFCAC6C5D}" uniqueName="13" name="Immersive Tendency.  I easily become deeply involved in movies or virtual experiences.    " queryTableFieldId="13"/>
    <tableColumn id="14" xr3:uid="{23C56696-B77E-4843-B87C-E13A20B1D84C}" uniqueName="14" name="Points - Immersive Tendency.  I easily become deeply involved in movies or virtual experiences.    " queryTableFieldId="14"/>
    <tableColumn id="15" xr3:uid="{06C7F7DA-FC3F-4F29-B994-AC76413A7E81}" uniqueName="15" name="Immersive Tendency.  I am good at blocking out external distractions when focused.    " queryTableFieldId="15"/>
    <tableColumn id="16" xr3:uid="{97136E17-3ADA-4141-A0C7-07CB667D4F95}" uniqueName="16" name="Points - Immersive Tendency.  I am good at blocking out external distractions when focused.    " queryTableFieldId="16"/>
    <tableColumn id="17" xr3:uid="{9EEA8EFE-4436-4576-BB7A-3C9928E6E6A9}" uniqueName="17" name="Immersive Tendency.  I often lose track of time when engaged in an activity.    " queryTableFieldId="17"/>
    <tableColumn id="18" xr3:uid="{C72EDF24-1C85-4F0E-9700-0977E7AF4F3E}" uniqueName="18" name="Points - Immersive Tendency.  I often lose track of time when engaged in an activity.    " queryTableFieldId="18"/>
    <tableColumn id="19" xr3:uid="{C8F37B62-521F-4CB2-8C99-5CD1BE626BA4}" uniqueName="19" name="Sense of presence and immersion.How much were you able to control the events?" queryTableFieldId="19"/>
    <tableColumn id="20" xr3:uid="{79B7A769-3EE7-431A-9559-2712F6D414BF}" uniqueName="20" name="Points - Sense of presence and immersion.How much were you able to control the events?" queryTableFieldId="20"/>
    <tableColumn id="21" xr3:uid="{6E241FC8-B52B-4C2F-83EC-6D9E9F558F27}" uniqueName="21" name="Sense of presence and immersion.How responsive was the environment to actions that you initiated?" queryTableFieldId="21"/>
    <tableColumn id="22" xr3:uid="{F6F904B8-7F99-42BA-A5F3-2F6476DEAF39}" uniqueName="22" name="Points - Sense of presence and immersion.How responsive was the environment to actions that you initiated?" queryTableFieldId="22"/>
    <tableColumn id="23" xr3:uid="{77AC8B42-078C-4776-B5FA-7D2C2038DBF2}" uniqueName="23" name="Sense of presence and immersion.How natural did your interactions with the environment seem?" queryTableFieldId="23"/>
    <tableColumn id="24" xr3:uid="{0F04CFD3-2027-4071-B19D-2CDEBD7B8309}" uniqueName="24" name="Points - Sense of presence and immersion.How natural did your interactions with the environment seem?" queryTableFieldId="24"/>
    <tableColumn id="25" xr3:uid="{EFAFED5E-D17F-4545-BED3-F998BDA570B8}" uniqueName="25" name="Sense of presence and immersion.  How completely were all of your senses engaged?    " queryTableFieldId="25"/>
    <tableColumn id="26" xr3:uid="{9A5190AD-BBBE-4071-A26D-57201066114D}" uniqueName="26" name="Points - Sense of presence and immersion.  How completely were all of your senses engaged?    " queryTableFieldId="26"/>
    <tableColumn id="27" xr3:uid="{C9C15A7B-939A-4856-A992-37004439D33F}" uniqueName="27" name="Sense of presence and immersion.  How much did the visual aspects of the environment involve you?    " queryTableFieldId="27"/>
    <tableColumn id="28" xr3:uid="{F0C01423-9543-4004-AB13-22091ED63694}" uniqueName="28" name="Points - Sense of presence and immersion.  How much did the visual aspects of the environment involve you?    " queryTableFieldId="28"/>
    <tableColumn id="29" xr3:uid="{E40F405F-F993-46E0-A86A-1F7EBAEBC880}" uniqueName="29" name="Sense of presence and immersion.  How much did the auditory aspects of the environment involve you?    " queryTableFieldId="29"/>
    <tableColumn id="30" xr3:uid="{1B18A4D6-1581-4C35-ADC1-28785FCD9F39}" uniqueName="30" name="Points - Sense of presence and immersion.  How much did the auditory aspects of the environment involve you?    " queryTableFieldId="30"/>
    <tableColumn id="31" xr3:uid="{DC2AC310-3135-4936-818F-1498E03C94B0}" uniqueName="31" name="Sense of presence and immersion.  How compelling was your sense of objects moving through space?    " queryTableFieldId="31"/>
    <tableColumn id="32" xr3:uid="{2E95DD30-FD5A-4D70-A08B-4762595AA8FA}" uniqueName="32" name="Points - Sense of presence and immersion.  How compelling was your sense of objects moving through space?    " queryTableFieldId="32"/>
    <tableColumn id="33" xr3:uid="{CFC6B7D0-34A0-4312-9084-4FFC2451E2FD}" uniqueName="33" name="Sense of presence and immersion.  How inconsistent or disconnected was the information coming from your various senses?    " queryTableFieldId="33"/>
    <tableColumn id="34" xr3:uid="{D95509D0-0D9E-4227-9F0C-CD2B82C973AE}" uniqueName="34" name="Points - Sense of presence and immersion.  How inconsistent or disconnected was the information coming from your various senses?    " queryTableFieldId="34"/>
    <tableColumn id="35" xr3:uid="{B3B6C620-544C-46EE-B710-105D83F7CEF6}" uniqueName="35" name="Sense of presence and immersion.  How much did your experiences in the virtual environment seem consistent with your real-world experiences?    " queryTableFieldId="35"/>
    <tableColumn id="36" xr3:uid="{97A8938F-EF3F-4BE6-80EE-D2B1773300D3}" uniqueName="36" name="Points - Sense of presence and immersion.  How much did your experiences in the virtual environment seem consistent with your real-world experiences?    " queryTableFieldId="36"/>
    <tableColumn id="37" xr3:uid="{E0083C5A-FFE8-4E46-BC87-11482C0DEE52}" uniqueName="37" name="Sense of presence and immersion.  How compelling was your sense of moving around inside the virtual environment?    " queryTableFieldId="37"/>
    <tableColumn id="38" xr3:uid="{C8DC2048-ABEF-45C5-BB08-A5CD0282DAC4}" uniqueName="38" name="Points - Sense of presence and immersion.  How compelling was your sense of moving around inside the virtual environment?    " queryTableFieldId="38"/>
    <tableColumn id="39" xr3:uid="{DD06B6D5-3AED-440D-B390-ABAA840F18A9}" uniqueName="39" name="Sense of presence and immersion.  How involved were you in the virtual environment experience?    " queryTableFieldId="39"/>
    <tableColumn id="40" xr3:uid="{72A2FCDF-5997-4DA1-A1A7-009AF4CC7AFF}" uniqueName="40" name="Points - Sense of presence and immersion.  How involved were you in the virtual environment experience?    " queryTableFieldId="40"/>
    <tableColumn id="41" xr3:uid="{453A6B53-EA27-40B4-AAF2-5C79E7CB8597}" uniqueName="41" name="Sense of presence and immersion.  Were you involved in the experience to the extent that you lost track of time?    " queryTableFieldId="41"/>
    <tableColumn id="42" xr3:uid="{E4E6DEC4-50EE-4D98-BF9A-06969775145A}" uniqueName="42" name="Points - Sense of presence and immersion.  Were you involved in the experience to the extent that you lost track of time?    " queryTableFieldId="42"/>
    <tableColumn id="43" xr3:uid="{62D9276F-4ACE-4011-B598-CB33BEB40636}" uniqueName="43" name="Auditory perception.  How well could you identify sounds?    " queryTableFieldId="43"/>
    <tableColumn id="44" xr3:uid="{D7640D6A-FE5C-4B86-B560-E87CEAABA051}" uniqueName="44" name="Points - Auditory perception.  How well could you identify sounds?    " queryTableFieldId="44"/>
    <tableColumn id="45" xr3:uid="{FDFD197C-CC30-40CE-927F-2BCEBBB1DB6E}" uniqueName="45" name="Auditory perception.  How well could you localize sounds?    " queryTableFieldId="45"/>
    <tableColumn id="46" xr3:uid="{13A52DED-4EAA-4D40-9C51-55A16DEA5170}" uniqueName="46" name="Points - Auditory perception.  How well could you localize sounds?    " queryTableFieldId="46"/>
    <tableColumn id="47" xr3:uid="{8C0A1BCE-E996-4F41-A4D5-1CED0C9F235E}" uniqueName="47" name="Navigation Experience.  How easy was it to find your way through the environment?    " queryTableFieldId="47"/>
    <tableColumn id="48" xr3:uid="{23B6B27B-40EA-448F-A4EC-0707C3A2B668}" uniqueName="48" name="Points - Navigation Experience.  How easy was it to find your way through the environment?    " queryTableFieldId="48"/>
    <tableColumn id="49" xr3:uid="{A60EA7F5-924E-4916-AC71-2FA67EBDC6F1}" uniqueName="49" name="Navigation Experience.  How confident did you feel about where you were in the environment at any moment?    " queryTableFieldId="49"/>
    <tableColumn id="50" xr3:uid="{B6C1FE03-4180-4ADA-877D-9BEB87D682D9}" uniqueName="50" name="Points - Navigation Experience.  How confident did you feel about where you were in the environment at any moment?    " queryTableFieldId="50"/>
    <tableColumn id="51" xr3:uid="{ABD32D2F-B162-4DB6-B99C-340362CA826E}" uniqueName="51" name="Navigation Experience.  To what extent did sounds help you decide where to go next?    " queryTableFieldId="51"/>
    <tableColumn id="52" xr3:uid="{66E80B1D-50AD-4AFC-B2E3-19923E1C845D}" uniqueName="52" name="Points - Navigation Experience.  To what extent did sounds help you decide where to go next?    " queryTableFieldId="52"/>
    <tableColumn id="53" xr3:uid="{6E032E2B-BFDC-4AA4-A7B7-E2EBA9499D57}" uniqueName="53" name="Navigation Experience.  To what extent did sounds distract you from navigation?    " queryTableFieldId="53"/>
    <tableColumn id="54" xr3:uid="{83D5C317-920B-41AE-8F39-9DDA5FF07A8E}" uniqueName="54" name="Points - Navigation Experience.  To what extent did sounds distract you from navigation?    " queryTableFieldId="54"/>
    <tableColumn id="55" xr3:uid="{349929FE-F666-4830-88B8-6A53B43AFDE0}" uniqueName="55" name="Post-Experience Affective State _x000a_.  I feel calm" queryTableFieldId="55"/>
    <tableColumn id="56" xr3:uid="{256E5341-8073-4207-BA78-98EF1E668F0F}" uniqueName="56" name="Points - Post-Experience Affective State _x000a_.  I feel calm" queryTableFieldId="56"/>
    <tableColumn id="57" xr3:uid="{57655C6C-3F16-4FE9-A097-C2AA18B962C9}" uniqueName="57" name="Post-Experience Affective State _x000a_.  I feel tense" queryTableFieldId="57"/>
    <tableColumn id="58" xr3:uid="{03BE5AFD-464C-4823-8653-3B4F47234BA8}" uniqueName="58" name="Points - Post-Experience Affective State _x000a_.  I feel tense" queryTableFieldId="58"/>
    <tableColumn id="59" xr3:uid="{F5419F7C-A4CA-45EB-A914-32B5BBD6E470}" uniqueName="59" name="Post-Experience Affective State _x000a_.  I feel relaxed" queryTableFieldId="59"/>
    <tableColumn id="60" xr3:uid="{52B0F4AE-FBB0-4A54-9581-8B885A5CA3A4}" uniqueName="60" name="Points - Post-Experience Affective State _x000a_.  I feel relaxed" queryTableFieldId="60"/>
    <tableColumn id="61" xr3:uid="{BBB911BE-5307-4D33-A9D8-F47F956EDFDA}" uniqueName="61" name="Post-Experience Affective State _x000a_.  I feel stressed" queryTableFieldId="61"/>
    <tableColumn id="62" xr3:uid="{9CFE574A-6E90-47EA-A9E8-A5188F015CD8}" uniqueName="62" name="Points - Post-Experience Affective State _x000a_.  I feel stressed" queryTableFieldId="62"/>
    <tableColumn id="63" xr3:uid="{B91DF599-957C-462E-8547-7EF5AC174CDC}" uniqueName="63" name="Physical Comfort.  I felt disoriented during or after the experience.    " queryTableFieldId="63"/>
    <tableColumn id="64" xr3:uid="{ECD54F83-FE9E-46AB-ABB3-2645A93F100D}" uniqueName="64" name="Points - Physical Comfort.  I felt disoriented during or after the experience.    " queryTableFieldId="64"/>
    <tableColumn id="65" xr3:uid="{D6161256-3F3C-414E-8A51-7BDF055C94AF}" uniqueName="65" name="Physical Comfort.  I felt physically uncomfortable during the experience.    " queryTableFieldId="65"/>
    <tableColumn id="66" xr3:uid="{0277109B-1422-446C-927D-AEC5B8E0F0F7}" uniqueName="66" name="Points - Physical Comfort.  I felt physically uncomfortable during the experience.    " queryTableFieldId="6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14"/>
  <sheetViews>
    <sheetView workbookViewId="0"/>
  </sheetViews>
  <sheetFormatPr defaultRowHeight="15" x14ac:dyDescent="0.25"/>
  <cols>
    <col min="1" max="115" width="20" bestFit="1" customWidth="1"/>
  </cols>
  <sheetData>
    <row r="1" spans="1:1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25">
      <c r="A2">
        <v>1</v>
      </c>
      <c r="B2" s="1">
        <v>46001.814814814818</v>
      </c>
      <c r="C2" s="1">
        <v>46001.845567129632</v>
      </c>
      <c r="D2" t="s">
        <v>115</v>
      </c>
      <c r="H2" s="1"/>
      <c r="K2" t="s">
        <v>116</v>
      </c>
      <c r="L2">
        <f>_xlfn.XLOOKUP(K2,Sheet2!$A$1:$A$7,Sheet2!$B$1:$B$7)</f>
        <v>5</v>
      </c>
      <c r="N2" t="s">
        <v>117</v>
      </c>
      <c r="O2">
        <f>_xlfn.XLOOKUP(N2,Sheet2!$A$1:$A$7,Sheet2!$B$1:$B$7)</f>
        <v>1</v>
      </c>
      <c r="Q2" t="s">
        <v>118</v>
      </c>
      <c r="R2">
        <f>_xlfn.XLOOKUP(Q2,Sheet2!$A$1:$A$7,Sheet2!$B$1:$B$7)</f>
        <v>4</v>
      </c>
      <c r="T2" t="s">
        <v>117</v>
      </c>
      <c r="U2">
        <f>_xlfn.XLOOKUP(T2,Sheet2!$A$1:$A$7,Sheet2!$B$1:$B$7)</f>
        <v>1</v>
      </c>
      <c r="Y2" t="s">
        <v>119</v>
      </c>
      <c r="Z2">
        <f>_xlfn.XLOOKUP(Y2,Sheet2!$A$1:$A$7,Sheet2!$B$1:$B$7)</f>
        <v>2</v>
      </c>
      <c r="AB2" t="s">
        <v>120</v>
      </c>
      <c r="AC2">
        <f>_xlfn.XLOOKUP(AB2,Sheet2!$A$1:$A$7,Sheet2!$B$1:$B$7)</f>
        <v>6</v>
      </c>
      <c r="AE2" t="s">
        <v>121</v>
      </c>
      <c r="AF2">
        <f>_xlfn.XLOOKUP(AE2,Sheet2!$A$1:$A$7,Sheet2!$B$1:$B$7)</f>
        <v>3</v>
      </c>
      <c r="AJ2" t="s">
        <v>120</v>
      </c>
      <c r="AK2">
        <f>_xlfn.XLOOKUP(AJ2,Sheet2!$A$1:$A$7,Sheet2!$B$1:$B$7)</f>
        <v>6</v>
      </c>
      <c r="AM2" t="s">
        <v>116</v>
      </c>
      <c r="AN2">
        <f>_xlfn.XLOOKUP(AM2,Sheet2!$A$1:$A$7,Sheet2!$B$1:$B$7)</f>
        <v>5</v>
      </c>
      <c r="AP2" t="s">
        <v>116</v>
      </c>
      <c r="AQ2">
        <f>_xlfn.XLOOKUP(AP2,Sheet2!$A$1:$A$7,Sheet2!$B$1:$B$7)</f>
        <v>5</v>
      </c>
      <c r="AS2" t="s">
        <v>118</v>
      </c>
      <c r="AT2">
        <f>_xlfn.XLOOKUP(AS2,Sheet2!$A$1:$A$7,Sheet2!$B$1:$B$7)</f>
        <v>4</v>
      </c>
      <c r="AV2" t="s">
        <v>122</v>
      </c>
      <c r="AW2">
        <f>_xlfn.XLOOKUP(AV2,Sheet2!$A$1:$A$7,Sheet2!$B$1:$B$7)</f>
        <v>7</v>
      </c>
      <c r="AY2" t="s">
        <v>118</v>
      </c>
      <c r="AZ2">
        <f>_xlfn.XLOOKUP(AY2,Sheet2!$A$1:$A$7,Sheet2!$B$1:$B$7)</f>
        <v>4</v>
      </c>
      <c r="BB2" t="s">
        <v>118</v>
      </c>
      <c r="BC2">
        <f>_xlfn.XLOOKUP(BB2,Sheet2!$A$1:$A$7,Sheet2!$B$1:$B$7)</f>
        <v>4</v>
      </c>
      <c r="BE2" t="s">
        <v>120</v>
      </c>
      <c r="BF2">
        <f>_xlfn.XLOOKUP(BE2,Sheet2!$A$1:$A$7,Sheet2!$B$1:$B$7)</f>
        <v>6</v>
      </c>
      <c r="BH2" t="s">
        <v>122</v>
      </c>
      <c r="BI2">
        <f>_xlfn.XLOOKUP(BH2,Sheet2!$A$1:$A$7,Sheet2!$B$1:$B$7)</f>
        <v>7</v>
      </c>
      <c r="BK2" t="s">
        <v>121</v>
      </c>
      <c r="BL2">
        <f>_xlfn.XLOOKUP(BK2,Sheet2!$A$1:$A$7,Sheet2!$B$1:$B$7)</f>
        <v>3</v>
      </c>
      <c r="BN2" t="s">
        <v>119</v>
      </c>
      <c r="BO2">
        <f>_xlfn.XLOOKUP(BN2,Sheet2!$A$1:$A$7,Sheet2!$B$1:$B$7)</f>
        <v>2</v>
      </c>
      <c r="BQ2" t="s">
        <v>121</v>
      </c>
      <c r="BR2">
        <f>_xlfn.XLOOKUP(BQ2,Sheet2!$A$1:$A$7,Sheet2!$B$1:$B$7)</f>
        <v>3</v>
      </c>
      <c r="BV2" t="s">
        <v>116</v>
      </c>
      <c r="BW2">
        <f>_xlfn.XLOOKUP(BV2,Sheet2!$A$1:$A$7,Sheet2!$B$1:$B$7)</f>
        <v>5</v>
      </c>
      <c r="BY2" t="s">
        <v>121</v>
      </c>
      <c r="BZ2">
        <f>_xlfn.XLOOKUP(BY2,Sheet2!$A$1:$A$7,Sheet2!$B$1:$B$7)</f>
        <v>3</v>
      </c>
      <c r="CD2" t="s">
        <v>121</v>
      </c>
      <c r="CE2">
        <f>_xlfn.XLOOKUP(CD2,Sheet2!$A$1:$A$7,Sheet2!$B$1:$B$7)</f>
        <v>3</v>
      </c>
      <c r="CG2" t="s">
        <v>120</v>
      </c>
      <c r="CH2">
        <f>_xlfn.XLOOKUP(CG2,Sheet2!$A$1:$A$7,Sheet2!$B$1:$B$7)</f>
        <v>6</v>
      </c>
      <c r="CJ2" t="s">
        <v>116</v>
      </c>
      <c r="CK2">
        <f>_xlfn.XLOOKUP(CJ2,Sheet2!$A$1:$A$7,Sheet2!$B$1:$B$7)</f>
        <v>5</v>
      </c>
      <c r="CM2" t="s">
        <v>120</v>
      </c>
      <c r="CN2">
        <f>_xlfn.XLOOKUP(CM2,Sheet2!$A$1:$A$7,Sheet2!$B$1:$B$7)</f>
        <v>6</v>
      </c>
      <c r="CR2" t="s">
        <v>117</v>
      </c>
      <c r="CS2">
        <f>_xlfn.XLOOKUP(CR2,Sheet2!$A$1:$A$7,Sheet2!$B$1:$B$7)</f>
        <v>1</v>
      </c>
      <c r="CU2" t="s">
        <v>120</v>
      </c>
      <c r="CV2">
        <f>_xlfn.XLOOKUP(CU2,Sheet2!$A$1:$A$7,Sheet2!$B$1:$B$7)</f>
        <v>6</v>
      </c>
      <c r="CX2" t="s">
        <v>117</v>
      </c>
      <c r="CY2">
        <f>_xlfn.XLOOKUP(CX2,Sheet2!$A$1:$A$7,Sheet2!$B$1:$B$7)</f>
        <v>1</v>
      </c>
      <c r="DA2" t="s">
        <v>122</v>
      </c>
      <c r="DB2">
        <f>_xlfn.XLOOKUP(DA2,Sheet2!$A$1:$A$7,Sheet2!$B$1:$B$7)</f>
        <v>7</v>
      </c>
      <c r="DF2" t="s">
        <v>120</v>
      </c>
      <c r="DG2">
        <f>_xlfn.XLOOKUP(DF2,Sheet2!$A$1:$A$7,Sheet2!$B$1:$B$7)</f>
        <v>6</v>
      </c>
      <c r="DI2" t="s">
        <v>122</v>
      </c>
      <c r="DJ2">
        <f>_xlfn.XLOOKUP(DI2,Sheet2!$A$1:$A$7,Sheet2!$B$1:$B$7)</f>
        <v>7</v>
      </c>
    </row>
    <row r="3" spans="1:115" x14ac:dyDescent="0.25">
      <c r="A3">
        <v>2</v>
      </c>
      <c r="B3" s="1">
        <v>46001.840138888889</v>
      </c>
      <c r="C3" s="1">
        <v>46001.852696759262</v>
      </c>
      <c r="D3" t="s">
        <v>123</v>
      </c>
      <c r="H3" s="1"/>
      <c r="K3" t="s">
        <v>120</v>
      </c>
      <c r="L3">
        <f>_xlfn.XLOOKUP(K3,Sheet2!$A$1:$A$7,Sheet2!$B$1:$B$7)</f>
        <v>6</v>
      </c>
      <c r="N3" t="s">
        <v>117</v>
      </c>
      <c r="O3">
        <f>_xlfn.XLOOKUP(N3,Sheet2!$A$1:$A$7,Sheet2!$B$1:$B$7)</f>
        <v>1</v>
      </c>
      <c r="Q3" t="s">
        <v>120</v>
      </c>
      <c r="R3">
        <f>_xlfn.XLOOKUP(Q3,Sheet2!$A$1:$A$7,Sheet2!$B$1:$B$7)</f>
        <v>6</v>
      </c>
      <c r="T3" t="s">
        <v>119</v>
      </c>
      <c r="U3">
        <f>_xlfn.XLOOKUP(T3,Sheet2!$A$1:$A$7,Sheet2!$B$1:$B$7)</f>
        <v>2</v>
      </c>
      <c r="Y3" t="s">
        <v>118</v>
      </c>
      <c r="Z3">
        <f>_xlfn.XLOOKUP(Y3,Sheet2!$A$1:$A$7,Sheet2!$B$1:$B$7)</f>
        <v>4</v>
      </c>
      <c r="AB3" t="s">
        <v>120</v>
      </c>
      <c r="AC3">
        <f>_xlfn.XLOOKUP(AB3,Sheet2!$A$1:$A$7,Sheet2!$B$1:$B$7)</f>
        <v>6</v>
      </c>
      <c r="AE3" t="s">
        <v>121</v>
      </c>
      <c r="AF3">
        <f>_xlfn.XLOOKUP(AE3,Sheet2!$A$1:$A$7,Sheet2!$B$1:$B$7)</f>
        <v>3</v>
      </c>
      <c r="AJ3" t="s">
        <v>121</v>
      </c>
      <c r="AK3">
        <f>_xlfn.XLOOKUP(AJ3,Sheet2!$A$1:$A$7,Sheet2!$B$1:$B$7)</f>
        <v>3</v>
      </c>
      <c r="AM3" t="s">
        <v>119</v>
      </c>
      <c r="AN3">
        <f>_xlfn.XLOOKUP(AM3,Sheet2!$A$1:$A$7,Sheet2!$B$1:$B$7)</f>
        <v>2</v>
      </c>
      <c r="AP3" t="s">
        <v>121</v>
      </c>
      <c r="AQ3">
        <f>_xlfn.XLOOKUP(AP3,Sheet2!$A$1:$A$7,Sheet2!$B$1:$B$7)</f>
        <v>3</v>
      </c>
      <c r="AS3" t="s">
        <v>120</v>
      </c>
      <c r="AT3">
        <f>_xlfn.XLOOKUP(AS3,Sheet2!$A$1:$A$7,Sheet2!$B$1:$B$7)</f>
        <v>6</v>
      </c>
      <c r="AV3" t="s">
        <v>118</v>
      </c>
      <c r="AW3">
        <f>_xlfn.XLOOKUP(AV3,Sheet2!$A$1:$A$7,Sheet2!$B$1:$B$7)</f>
        <v>4</v>
      </c>
      <c r="AY3" t="s">
        <v>120</v>
      </c>
      <c r="AZ3">
        <f>_xlfn.XLOOKUP(AY3,Sheet2!$A$1:$A$7,Sheet2!$B$1:$B$7)</f>
        <v>6</v>
      </c>
      <c r="BB3" t="s">
        <v>118</v>
      </c>
      <c r="BC3">
        <f>_xlfn.XLOOKUP(BB3,Sheet2!$A$1:$A$7,Sheet2!$B$1:$B$7)</f>
        <v>4</v>
      </c>
      <c r="BE3" t="s">
        <v>119</v>
      </c>
      <c r="BF3">
        <f>_xlfn.XLOOKUP(BE3,Sheet2!$A$1:$A$7,Sheet2!$B$1:$B$7)</f>
        <v>2</v>
      </c>
      <c r="BH3" t="s">
        <v>121</v>
      </c>
      <c r="BI3">
        <f>_xlfn.XLOOKUP(BH3,Sheet2!$A$1:$A$7,Sheet2!$B$1:$B$7)</f>
        <v>3</v>
      </c>
      <c r="BK3" t="s">
        <v>118</v>
      </c>
      <c r="BL3">
        <f>_xlfn.XLOOKUP(BK3,Sheet2!$A$1:$A$7,Sheet2!$B$1:$B$7)</f>
        <v>4</v>
      </c>
      <c r="BN3" t="s">
        <v>120</v>
      </c>
      <c r="BO3">
        <f>_xlfn.XLOOKUP(BN3,Sheet2!$A$1:$A$7,Sheet2!$B$1:$B$7)</f>
        <v>6</v>
      </c>
      <c r="BQ3" t="s">
        <v>120</v>
      </c>
      <c r="BR3">
        <f>_xlfn.XLOOKUP(BQ3,Sheet2!$A$1:$A$7,Sheet2!$B$1:$B$7)</f>
        <v>6</v>
      </c>
      <c r="BV3" t="s">
        <v>120</v>
      </c>
      <c r="BW3">
        <f>_xlfn.XLOOKUP(BV3,Sheet2!$A$1:$A$7,Sheet2!$B$1:$B$7)</f>
        <v>6</v>
      </c>
      <c r="BY3" t="s">
        <v>120</v>
      </c>
      <c r="BZ3">
        <f>_xlfn.XLOOKUP(BY3,Sheet2!$A$1:$A$7,Sheet2!$B$1:$B$7)</f>
        <v>6</v>
      </c>
      <c r="CD3" t="s">
        <v>121</v>
      </c>
      <c r="CE3">
        <f>_xlfn.XLOOKUP(CD3,Sheet2!$A$1:$A$7,Sheet2!$B$1:$B$7)</f>
        <v>3</v>
      </c>
      <c r="CG3" t="s">
        <v>121</v>
      </c>
      <c r="CH3">
        <f>_xlfn.XLOOKUP(CG3,Sheet2!$A$1:$A$7,Sheet2!$B$1:$B$7)</f>
        <v>3</v>
      </c>
      <c r="CJ3" t="s">
        <v>120</v>
      </c>
      <c r="CK3">
        <f>_xlfn.XLOOKUP(CJ3,Sheet2!$A$1:$A$7,Sheet2!$B$1:$B$7)</f>
        <v>6</v>
      </c>
      <c r="CM3" t="s">
        <v>119</v>
      </c>
      <c r="CN3">
        <f>_xlfn.XLOOKUP(CM3,Sheet2!$A$1:$A$7,Sheet2!$B$1:$B$7)</f>
        <v>2</v>
      </c>
      <c r="CR3" t="s">
        <v>119</v>
      </c>
      <c r="CS3">
        <f>_xlfn.XLOOKUP(CR3,Sheet2!$A$1:$A$7,Sheet2!$B$1:$B$7)</f>
        <v>2</v>
      </c>
      <c r="CU3" t="s">
        <v>119</v>
      </c>
      <c r="CV3">
        <f>_xlfn.XLOOKUP(CU3,Sheet2!$A$1:$A$7,Sheet2!$B$1:$B$7)</f>
        <v>2</v>
      </c>
      <c r="CX3" t="s">
        <v>119</v>
      </c>
      <c r="CY3">
        <f>_xlfn.XLOOKUP(CX3,Sheet2!$A$1:$A$7,Sheet2!$B$1:$B$7)</f>
        <v>2</v>
      </c>
      <c r="DA3" t="s">
        <v>120</v>
      </c>
      <c r="DB3">
        <f>_xlfn.XLOOKUP(DA3,Sheet2!$A$1:$A$7,Sheet2!$B$1:$B$7)</f>
        <v>6</v>
      </c>
      <c r="DF3" t="s">
        <v>117</v>
      </c>
      <c r="DG3">
        <f>_xlfn.XLOOKUP(DF3,Sheet2!$A$1:$A$7,Sheet2!$B$1:$B$7)</f>
        <v>1</v>
      </c>
      <c r="DI3" t="s">
        <v>116</v>
      </c>
      <c r="DJ3">
        <f>_xlfn.XLOOKUP(DI3,Sheet2!$A$1:$A$7,Sheet2!$B$1:$B$7)</f>
        <v>5</v>
      </c>
    </row>
    <row r="4" spans="1:115" x14ac:dyDescent="0.25">
      <c r="A4">
        <v>3</v>
      </c>
      <c r="B4" s="1">
        <v>46002.425972222198</v>
      </c>
      <c r="C4" s="1">
        <v>46002.437291666698</v>
      </c>
      <c r="D4" s="2" t="s">
        <v>124</v>
      </c>
      <c r="E4" s="2"/>
      <c r="G4" s="2"/>
      <c r="H4" s="1"/>
      <c r="J4" s="2"/>
      <c r="K4" s="2" t="s">
        <v>120</v>
      </c>
      <c r="L4">
        <f>_xlfn.XLOOKUP(K4,Sheet2!$A$1:$A$7,Sheet2!$B$1:$B$7)</f>
        <v>6</v>
      </c>
      <c r="M4" s="2"/>
      <c r="N4" s="2" t="s">
        <v>119</v>
      </c>
      <c r="O4">
        <f>_xlfn.XLOOKUP(N4,Sheet2!$A$1:$A$7,Sheet2!$B$1:$B$7)</f>
        <v>2</v>
      </c>
      <c r="P4" s="2"/>
      <c r="Q4" s="2" t="s">
        <v>120</v>
      </c>
      <c r="R4">
        <f>_xlfn.XLOOKUP(Q4,Sheet2!$A$1:$A$7,Sheet2!$B$1:$B$7)</f>
        <v>6</v>
      </c>
      <c r="S4" s="2"/>
      <c r="T4" s="2" t="s">
        <v>119</v>
      </c>
      <c r="U4">
        <f>_xlfn.XLOOKUP(T4,Sheet2!$A$1:$A$7,Sheet2!$B$1:$B$7)</f>
        <v>2</v>
      </c>
      <c r="V4" s="2"/>
      <c r="X4" s="2"/>
      <c r="Y4" s="2" t="s">
        <v>118</v>
      </c>
      <c r="Z4">
        <f>_xlfn.XLOOKUP(Y4,Sheet2!$A$1:$A$7,Sheet2!$B$1:$B$7)</f>
        <v>4</v>
      </c>
      <c r="AA4" s="2"/>
      <c r="AB4" s="2" t="s">
        <v>118</v>
      </c>
      <c r="AC4">
        <f>_xlfn.XLOOKUP(AB4,Sheet2!$A$1:$A$7,Sheet2!$B$1:$B$7)</f>
        <v>4</v>
      </c>
      <c r="AD4" s="2"/>
      <c r="AE4" s="2" t="s">
        <v>117</v>
      </c>
      <c r="AF4">
        <f>_xlfn.XLOOKUP(AE4,Sheet2!$A$1:$A$7,Sheet2!$B$1:$B$7)</f>
        <v>1</v>
      </c>
      <c r="AG4" s="2"/>
      <c r="AI4" s="2"/>
      <c r="AJ4" s="2" t="s">
        <v>120</v>
      </c>
      <c r="AK4">
        <f>_xlfn.XLOOKUP(AJ4,Sheet2!$A$1:$A$7,Sheet2!$B$1:$B$7)</f>
        <v>6</v>
      </c>
      <c r="AL4" s="2"/>
      <c r="AM4" s="2" t="s">
        <v>122</v>
      </c>
      <c r="AN4">
        <f>_xlfn.XLOOKUP(AM4,Sheet2!$A$1:$A$7,Sheet2!$B$1:$B$7)</f>
        <v>7</v>
      </c>
      <c r="AO4" s="2"/>
      <c r="AP4" s="2" t="s">
        <v>122</v>
      </c>
      <c r="AQ4">
        <f>_xlfn.XLOOKUP(AP4,Sheet2!$A$1:$A$7,Sheet2!$B$1:$B$7)</f>
        <v>7</v>
      </c>
      <c r="AR4" s="2"/>
      <c r="AS4" s="2" t="s">
        <v>120</v>
      </c>
      <c r="AT4">
        <f>_xlfn.XLOOKUP(AS4,Sheet2!$A$1:$A$7,Sheet2!$B$1:$B$7)</f>
        <v>6</v>
      </c>
      <c r="AU4" s="2"/>
      <c r="AV4" s="2" t="s">
        <v>122</v>
      </c>
      <c r="AW4">
        <f>_xlfn.XLOOKUP(AV4,Sheet2!$A$1:$A$7,Sheet2!$B$1:$B$7)</f>
        <v>7</v>
      </c>
      <c r="AX4" s="2"/>
      <c r="AY4" s="2" t="s">
        <v>122</v>
      </c>
      <c r="AZ4">
        <f>_xlfn.XLOOKUP(AY4,Sheet2!$A$1:$A$7,Sheet2!$B$1:$B$7)</f>
        <v>7</v>
      </c>
      <c r="BA4" s="2"/>
      <c r="BB4" s="2" t="s">
        <v>120</v>
      </c>
      <c r="BC4">
        <f>_xlfn.XLOOKUP(BB4,Sheet2!$A$1:$A$7,Sheet2!$B$1:$B$7)</f>
        <v>6</v>
      </c>
      <c r="BD4" s="2"/>
      <c r="BE4" s="2" t="s">
        <v>119</v>
      </c>
      <c r="BF4">
        <f>_xlfn.XLOOKUP(BE4,Sheet2!$A$1:$A$7,Sheet2!$B$1:$B$7)</f>
        <v>2</v>
      </c>
      <c r="BG4" s="2"/>
      <c r="BH4" s="2" t="s">
        <v>120</v>
      </c>
      <c r="BI4">
        <f>_xlfn.XLOOKUP(BH4,Sheet2!$A$1:$A$7,Sheet2!$B$1:$B$7)</f>
        <v>6</v>
      </c>
      <c r="BJ4" s="2"/>
      <c r="BK4" s="2" t="s">
        <v>120</v>
      </c>
      <c r="BL4">
        <f>_xlfn.XLOOKUP(BK4,Sheet2!$A$1:$A$7,Sheet2!$B$1:$B$7)</f>
        <v>6</v>
      </c>
      <c r="BM4" s="2"/>
      <c r="BN4" s="2" t="s">
        <v>122</v>
      </c>
      <c r="BO4">
        <f>_xlfn.XLOOKUP(BN4,Sheet2!$A$1:$A$7,Sheet2!$B$1:$B$7)</f>
        <v>7</v>
      </c>
      <c r="BP4" s="2"/>
      <c r="BQ4" s="2" t="s">
        <v>117</v>
      </c>
      <c r="BR4">
        <f>_xlfn.XLOOKUP(BQ4,Sheet2!$A$1:$A$7,Sheet2!$B$1:$B$7)</f>
        <v>1</v>
      </c>
      <c r="BS4" s="2"/>
      <c r="BU4" s="2"/>
      <c r="BV4" s="2" t="s">
        <v>122</v>
      </c>
      <c r="BW4">
        <f>_xlfn.XLOOKUP(BV4,Sheet2!$A$1:$A$7,Sheet2!$B$1:$B$7)</f>
        <v>7</v>
      </c>
      <c r="BX4" s="2"/>
      <c r="BY4" s="2" t="s">
        <v>122</v>
      </c>
      <c r="BZ4">
        <f>_xlfn.XLOOKUP(BY4,Sheet2!$A$1:$A$7,Sheet2!$B$1:$B$7)</f>
        <v>7</v>
      </c>
      <c r="CA4" s="2"/>
      <c r="CC4" s="2"/>
      <c r="CD4" s="2" t="s">
        <v>118</v>
      </c>
      <c r="CE4">
        <f>_xlfn.XLOOKUP(CD4,Sheet2!$A$1:$A$7,Sheet2!$B$1:$B$7)</f>
        <v>4</v>
      </c>
      <c r="CF4" s="2"/>
      <c r="CG4" s="2" t="s">
        <v>118</v>
      </c>
      <c r="CH4">
        <f>_xlfn.XLOOKUP(CG4,Sheet2!$A$1:$A$7,Sheet2!$B$1:$B$7)</f>
        <v>4</v>
      </c>
      <c r="CI4" s="2"/>
      <c r="CJ4" s="2" t="s">
        <v>122</v>
      </c>
      <c r="CK4">
        <f>_xlfn.XLOOKUP(CJ4,Sheet2!$A$1:$A$7,Sheet2!$B$1:$B$7)</f>
        <v>7</v>
      </c>
      <c r="CL4" s="2"/>
      <c r="CM4" s="2" t="s">
        <v>117</v>
      </c>
      <c r="CN4">
        <f>_xlfn.XLOOKUP(CM4,Sheet2!$A$1:$A$7,Sheet2!$B$1:$B$7)</f>
        <v>1</v>
      </c>
      <c r="CO4" s="2"/>
      <c r="CQ4" s="2"/>
      <c r="CR4" s="2" t="s">
        <v>116</v>
      </c>
      <c r="CS4">
        <f>_xlfn.XLOOKUP(CR4,Sheet2!$A$1:$A$7,Sheet2!$B$1:$B$7)</f>
        <v>5</v>
      </c>
      <c r="CT4" s="2"/>
      <c r="CU4" s="2" t="s">
        <v>118</v>
      </c>
      <c r="CV4">
        <f>_xlfn.XLOOKUP(CU4,Sheet2!$A$1:$A$7,Sheet2!$B$1:$B$7)</f>
        <v>4</v>
      </c>
      <c r="CW4" s="2"/>
      <c r="CX4" s="2" t="s">
        <v>121</v>
      </c>
      <c r="CY4">
        <f>_xlfn.XLOOKUP(CX4,Sheet2!$A$1:$A$7,Sheet2!$B$1:$B$7)</f>
        <v>3</v>
      </c>
      <c r="CZ4" s="2"/>
      <c r="DA4" s="2" t="s">
        <v>121</v>
      </c>
      <c r="DB4">
        <f>_xlfn.XLOOKUP(DA4,Sheet2!$A$1:$A$7,Sheet2!$B$1:$B$7)</f>
        <v>3</v>
      </c>
      <c r="DC4" s="2"/>
      <c r="DE4" s="2"/>
      <c r="DF4" s="2" t="s">
        <v>117</v>
      </c>
      <c r="DG4">
        <f>_xlfn.XLOOKUP(DF4,Sheet2!$A$1:$A$7,Sheet2!$B$1:$B$7)</f>
        <v>1</v>
      </c>
      <c r="DH4" s="2"/>
      <c r="DI4" s="2" t="s">
        <v>121</v>
      </c>
      <c r="DJ4">
        <f>_xlfn.XLOOKUP(DI4,Sheet2!$A$1:$A$7,Sheet2!$B$1:$B$7)</f>
        <v>3</v>
      </c>
      <c r="DK4" s="2"/>
    </row>
    <row r="5" spans="1:115" x14ac:dyDescent="0.25">
      <c r="A5">
        <v>4</v>
      </c>
      <c r="B5" s="1">
        <v>46002.455648148098</v>
      </c>
      <c r="C5" s="1">
        <v>46002.4674884259</v>
      </c>
      <c r="D5" s="2" t="s">
        <v>125</v>
      </c>
      <c r="E5" s="2"/>
      <c r="G5" s="2"/>
      <c r="H5" s="1"/>
      <c r="J5" s="2"/>
      <c r="K5" s="2" t="s">
        <v>120</v>
      </c>
      <c r="L5">
        <f>_xlfn.XLOOKUP(K5,Sheet2!$A$1:$A$7,Sheet2!$B$1:$B$7)</f>
        <v>6</v>
      </c>
      <c r="M5" s="2"/>
      <c r="N5" s="2" t="s">
        <v>119</v>
      </c>
      <c r="O5">
        <f>_xlfn.XLOOKUP(N5,Sheet2!$A$1:$A$7,Sheet2!$B$1:$B$7)</f>
        <v>2</v>
      </c>
      <c r="P5" s="2"/>
      <c r="Q5" s="2" t="s">
        <v>118</v>
      </c>
      <c r="R5">
        <f>_xlfn.XLOOKUP(Q5,Sheet2!$A$1:$A$7,Sheet2!$B$1:$B$7)</f>
        <v>4</v>
      </c>
      <c r="S5" s="2"/>
      <c r="T5" s="2" t="s">
        <v>119</v>
      </c>
      <c r="U5">
        <f>_xlfn.XLOOKUP(T5,Sheet2!$A$1:$A$7,Sheet2!$B$1:$B$7)</f>
        <v>2</v>
      </c>
      <c r="V5" s="2"/>
      <c r="X5" s="2"/>
      <c r="Y5" s="2" t="s">
        <v>116</v>
      </c>
      <c r="Z5">
        <f>_xlfn.XLOOKUP(Y5,Sheet2!$A$1:$A$7,Sheet2!$B$1:$B$7)</f>
        <v>5</v>
      </c>
      <c r="AA5" s="2"/>
      <c r="AB5" s="2" t="s">
        <v>121</v>
      </c>
      <c r="AC5">
        <f>_xlfn.XLOOKUP(AB5,Sheet2!$A$1:$A$7,Sheet2!$B$1:$B$7)</f>
        <v>3</v>
      </c>
      <c r="AD5" s="2"/>
      <c r="AE5" s="2" t="s">
        <v>122</v>
      </c>
      <c r="AF5">
        <f>_xlfn.XLOOKUP(AE5,Sheet2!$A$1:$A$7,Sheet2!$B$1:$B$7)</f>
        <v>7</v>
      </c>
      <c r="AG5" s="2"/>
      <c r="AI5" s="2"/>
      <c r="AJ5" s="2" t="s">
        <v>118</v>
      </c>
      <c r="AK5">
        <f>_xlfn.XLOOKUP(AJ5,Sheet2!$A$1:$A$7,Sheet2!$B$1:$B$7)</f>
        <v>4</v>
      </c>
      <c r="AL5" s="2"/>
      <c r="AM5" s="2" t="s">
        <v>122</v>
      </c>
      <c r="AN5">
        <f>_xlfn.XLOOKUP(AM5,Sheet2!$A$1:$A$7,Sheet2!$B$1:$B$7)</f>
        <v>7</v>
      </c>
      <c r="AO5" s="2"/>
      <c r="AP5" s="2" t="s">
        <v>122</v>
      </c>
      <c r="AQ5">
        <f>_xlfn.XLOOKUP(AP5,Sheet2!$A$1:$A$7,Sheet2!$B$1:$B$7)</f>
        <v>7</v>
      </c>
      <c r="AR5" s="2"/>
      <c r="AS5" s="2" t="s">
        <v>122</v>
      </c>
      <c r="AT5">
        <f>_xlfn.XLOOKUP(AS5,Sheet2!$A$1:$A$7,Sheet2!$B$1:$B$7)</f>
        <v>7</v>
      </c>
      <c r="AU5" s="2"/>
      <c r="AV5" s="2" t="s">
        <v>122</v>
      </c>
      <c r="AW5">
        <f>_xlfn.XLOOKUP(AV5,Sheet2!$A$1:$A$7,Sheet2!$B$1:$B$7)</f>
        <v>7</v>
      </c>
      <c r="AX5" s="2"/>
      <c r="AY5" s="2" t="s">
        <v>120</v>
      </c>
      <c r="AZ5">
        <f>_xlfn.XLOOKUP(AY5,Sheet2!$A$1:$A$7,Sheet2!$B$1:$B$7)</f>
        <v>6</v>
      </c>
      <c r="BA5" s="2"/>
      <c r="BB5" s="2" t="s">
        <v>122</v>
      </c>
      <c r="BC5">
        <f>_xlfn.XLOOKUP(BB5,Sheet2!$A$1:$A$7,Sheet2!$B$1:$B$7)</f>
        <v>7</v>
      </c>
      <c r="BD5" s="2"/>
      <c r="BE5" s="2" t="s">
        <v>122</v>
      </c>
      <c r="BF5">
        <f>_xlfn.XLOOKUP(BE5,Sheet2!$A$1:$A$7,Sheet2!$B$1:$B$7)</f>
        <v>7</v>
      </c>
      <c r="BG5" s="2"/>
      <c r="BH5" s="2" t="s">
        <v>122</v>
      </c>
      <c r="BI5">
        <f>_xlfn.XLOOKUP(BH5,Sheet2!$A$1:$A$7,Sheet2!$B$1:$B$7)</f>
        <v>7</v>
      </c>
      <c r="BJ5" s="2"/>
      <c r="BK5" s="2" t="s">
        <v>122</v>
      </c>
      <c r="BL5">
        <f>_xlfn.XLOOKUP(BK5,Sheet2!$A$1:$A$7,Sheet2!$B$1:$B$7)</f>
        <v>7</v>
      </c>
      <c r="BM5" s="2"/>
      <c r="BN5" s="2" t="s">
        <v>122</v>
      </c>
      <c r="BO5">
        <f>_xlfn.XLOOKUP(BN5,Sheet2!$A$1:$A$7,Sheet2!$B$1:$B$7)</f>
        <v>7</v>
      </c>
      <c r="BP5" s="2"/>
      <c r="BQ5" s="2" t="s">
        <v>120</v>
      </c>
      <c r="BR5">
        <f>_xlfn.XLOOKUP(BQ5,Sheet2!$A$1:$A$7,Sheet2!$B$1:$B$7)</f>
        <v>6</v>
      </c>
      <c r="BS5" s="2"/>
      <c r="BU5" s="2"/>
      <c r="BV5" s="2" t="s">
        <v>122</v>
      </c>
      <c r="BW5">
        <f>_xlfn.XLOOKUP(BV5,Sheet2!$A$1:$A$7,Sheet2!$B$1:$B$7)</f>
        <v>7</v>
      </c>
      <c r="BX5" s="2"/>
      <c r="BY5" s="2" t="s">
        <v>122</v>
      </c>
      <c r="BZ5">
        <f>_xlfn.XLOOKUP(BY5,Sheet2!$A$1:$A$7,Sheet2!$B$1:$B$7)</f>
        <v>7</v>
      </c>
      <c r="CA5" s="2"/>
      <c r="CC5" s="2"/>
      <c r="CD5" s="2" t="s">
        <v>116</v>
      </c>
      <c r="CE5">
        <f>_xlfn.XLOOKUP(CD5,Sheet2!$A$1:$A$7,Sheet2!$B$1:$B$7)</f>
        <v>5</v>
      </c>
      <c r="CF5" s="2"/>
      <c r="CG5" s="2" t="s">
        <v>122</v>
      </c>
      <c r="CH5">
        <f>_xlfn.XLOOKUP(CG5,Sheet2!$A$1:$A$7,Sheet2!$B$1:$B$7)</f>
        <v>7</v>
      </c>
      <c r="CI5" s="2"/>
      <c r="CJ5" s="2" t="s">
        <v>116</v>
      </c>
      <c r="CK5">
        <f>_xlfn.XLOOKUP(CJ5,Sheet2!$A$1:$A$7,Sheet2!$B$1:$B$7)</f>
        <v>5</v>
      </c>
      <c r="CL5" s="2"/>
      <c r="CM5" s="2" t="s">
        <v>117</v>
      </c>
      <c r="CN5">
        <f>_xlfn.XLOOKUP(CM5,Sheet2!$A$1:$A$7,Sheet2!$B$1:$B$7)</f>
        <v>1</v>
      </c>
      <c r="CO5" s="2"/>
      <c r="CQ5" s="2"/>
      <c r="CR5" s="2" t="s">
        <v>122</v>
      </c>
      <c r="CS5">
        <f>_xlfn.XLOOKUP(CR5,Sheet2!$A$1:$A$7,Sheet2!$B$1:$B$7)</f>
        <v>7</v>
      </c>
      <c r="CT5" s="2"/>
      <c r="CU5" s="2" t="s">
        <v>117</v>
      </c>
      <c r="CV5">
        <f>_xlfn.XLOOKUP(CU5,Sheet2!$A$1:$A$7,Sheet2!$B$1:$B$7)</f>
        <v>1</v>
      </c>
      <c r="CW5" s="2"/>
      <c r="CX5" s="2" t="s">
        <v>120</v>
      </c>
      <c r="CY5">
        <f>_xlfn.XLOOKUP(CX5,Sheet2!$A$1:$A$7,Sheet2!$B$1:$B$7)</f>
        <v>6</v>
      </c>
      <c r="CZ5" s="2"/>
      <c r="DA5" s="2" t="s">
        <v>117</v>
      </c>
      <c r="DB5">
        <f>_xlfn.XLOOKUP(DA5,Sheet2!$A$1:$A$7,Sheet2!$B$1:$B$7)</f>
        <v>1</v>
      </c>
      <c r="DC5" s="2"/>
      <c r="DE5" s="2"/>
      <c r="DF5" s="2" t="s">
        <v>117</v>
      </c>
      <c r="DG5">
        <f>_xlfn.XLOOKUP(DF5,Sheet2!$A$1:$A$7,Sheet2!$B$1:$B$7)</f>
        <v>1</v>
      </c>
      <c r="DH5" s="2"/>
      <c r="DI5" s="2" t="s">
        <v>117</v>
      </c>
      <c r="DJ5">
        <f>_xlfn.XLOOKUP(DI5,Sheet2!$A$1:$A$7,Sheet2!$B$1:$B$7)</f>
        <v>1</v>
      </c>
      <c r="DK5" s="2"/>
    </row>
    <row r="6" spans="1:115" x14ac:dyDescent="0.25">
      <c r="A6">
        <v>5</v>
      </c>
      <c r="B6" s="1">
        <v>46002.509004629603</v>
      </c>
      <c r="C6" s="1">
        <v>46002.522094907399</v>
      </c>
      <c r="D6" s="2" t="s">
        <v>126</v>
      </c>
      <c r="E6" s="2"/>
      <c r="G6" s="2"/>
      <c r="H6" s="1"/>
      <c r="J6" s="2"/>
      <c r="K6" s="2" t="s">
        <v>116</v>
      </c>
      <c r="L6">
        <f>_xlfn.XLOOKUP(K6,Sheet2!$A$1:$A$7,Sheet2!$B$1:$B$7)</f>
        <v>5</v>
      </c>
      <c r="M6" s="2"/>
      <c r="N6" s="2" t="s">
        <v>119</v>
      </c>
      <c r="O6">
        <f>_xlfn.XLOOKUP(N6,Sheet2!$A$1:$A$7,Sheet2!$B$1:$B$7)</f>
        <v>2</v>
      </c>
      <c r="P6" s="2"/>
      <c r="Q6" s="2" t="s">
        <v>116</v>
      </c>
      <c r="R6">
        <f>_xlfn.XLOOKUP(Q6,Sheet2!$A$1:$A$7,Sheet2!$B$1:$B$7)</f>
        <v>5</v>
      </c>
      <c r="S6" s="2"/>
      <c r="T6" s="2" t="s">
        <v>119</v>
      </c>
      <c r="U6">
        <f>_xlfn.XLOOKUP(T6,Sheet2!$A$1:$A$7,Sheet2!$B$1:$B$7)</f>
        <v>2</v>
      </c>
      <c r="V6" s="2"/>
      <c r="X6" s="2"/>
      <c r="Y6" s="2" t="s">
        <v>119</v>
      </c>
      <c r="Z6">
        <f>_xlfn.XLOOKUP(Y6,Sheet2!$A$1:$A$7,Sheet2!$B$1:$B$7)</f>
        <v>2</v>
      </c>
      <c r="AA6" s="2"/>
      <c r="AB6" s="2" t="s">
        <v>121</v>
      </c>
      <c r="AC6">
        <f>_xlfn.XLOOKUP(AB6,Sheet2!$A$1:$A$7,Sheet2!$B$1:$B$7)</f>
        <v>3</v>
      </c>
      <c r="AD6" s="2"/>
      <c r="AE6" s="2" t="s">
        <v>119</v>
      </c>
      <c r="AF6">
        <f>_xlfn.XLOOKUP(AE6,Sheet2!$A$1:$A$7,Sheet2!$B$1:$B$7)</f>
        <v>2</v>
      </c>
      <c r="AG6" s="2"/>
      <c r="AI6" s="2"/>
      <c r="AJ6" s="2" t="s">
        <v>120</v>
      </c>
      <c r="AK6">
        <f>_xlfn.XLOOKUP(AJ6,Sheet2!$A$1:$A$7,Sheet2!$B$1:$B$7)</f>
        <v>6</v>
      </c>
      <c r="AL6" s="2"/>
      <c r="AM6" s="2" t="s">
        <v>118</v>
      </c>
      <c r="AN6">
        <f>_xlfn.XLOOKUP(AM6,Sheet2!$A$1:$A$7,Sheet2!$B$1:$B$7)</f>
        <v>4</v>
      </c>
      <c r="AO6" s="2"/>
      <c r="AP6" s="2" t="s">
        <v>116</v>
      </c>
      <c r="AQ6">
        <f>_xlfn.XLOOKUP(AP6,Sheet2!$A$1:$A$7,Sheet2!$B$1:$B$7)</f>
        <v>5</v>
      </c>
      <c r="AR6" s="2"/>
      <c r="AS6" s="2" t="s">
        <v>116</v>
      </c>
      <c r="AT6">
        <f>_xlfn.XLOOKUP(AS6,Sheet2!$A$1:$A$7,Sheet2!$B$1:$B$7)</f>
        <v>5</v>
      </c>
      <c r="AU6" s="2"/>
      <c r="AV6" s="2" t="s">
        <v>116</v>
      </c>
      <c r="AW6">
        <f>_xlfn.XLOOKUP(AV6,Sheet2!$A$1:$A$7,Sheet2!$B$1:$B$7)</f>
        <v>5</v>
      </c>
      <c r="AX6" s="2"/>
      <c r="AY6" s="2" t="s">
        <v>120</v>
      </c>
      <c r="AZ6">
        <f>_xlfn.XLOOKUP(AY6,Sheet2!$A$1:$A$7,Sheet2!$B$1:$B$7)</f>
        <v>6</v>
      </c>
      <c r="BA6" s="2"/>
      <c r="BB6" s="2" t="s">
        <v>120</v>
      </c>
      <c r="BC6">
        <f>_xlfn.XLOOKUP(BB6,Sheet2!$A$1:$A$7,Sheet2!$B$1:$B$7)</f>
        <v>6</v>
      </c>
      <c r="BD6" s="2"/>
      <c r="BE6" s="2" t="s">
        <v>121</v>
      </c>
      <c r="BF6">
        <f>_xlfn.XLOOKUP(BE6,Sheet2!$A$1:$A$7,Sheet2!$B$1:$B$7)</f>
        <v>3</v>
      </c>
      <c r="BG6" s="2"/>
      <c r="BH6" s="2" t="s">
        <v>116</v>
      </c>
      <c r="BI6">
        <f>_xlfn.XLOOKUP(BH6,Sheet2!$A$1:$A$7,Sheet2!$B$1:$B$7)</f>
        <v>5</v>
      </c>
      <c r="BJ6" s="2"/>
      <c r="BK6" s="2" t="s">
        <v>116</v>
      </c>
      <c r="BL6">
        <f>_xlfn.XLOOKUP(BK6,Sheet2!$A$1:$A$7,Sheet2!$B$1:$B$7)</f>
        <v>5</v>
      </c>
      <c r="BM6" s="2"/>
      <c r="BN6" s="2" t="s">
        <v>116</v>
      </c>
      <c r="BO6">
        <f>_xlfn.XLOOKUP(BN6,Sheet2!$A$1:$A$7,Sheet2!$B$1:$B$7)</f>
        <v>5</v>
      </c>
      <c r="BP6" s="2"/>
      <c r="BQ6" s="2" t="s">
        <v>121</v>
      </c>
      <c r="BR6">
        <f>_xlfn.XLOOKUP(BQ6,Sheet2!$A$1:$A$7,Sheet2!$B$1:$B$7)</f>
        <v>3</v>
      </c>
      <c r="BS6" s="2"/>
      <c r="BU6" s="2"/>
      <c r="BV6" s="2" t="s">
        <v>120</v>
      </c>
      <c r="BW6">
        <f>_xlfn.XLOOKUP(BV6,Sheet2!$A$1:$A$7,Sheet2!$B$1:$B$7)</f>
        <v>6</v>
      </c>
      <c r="BX6" s="2"/>
      <c r="BY6" s="2" t="s">
        <v>121</v>
      </c>
      <c r="BZ6">
        <f>_xlfn.XLOOKUP(BY6,Sheet2!$A$1:$A$7,Sheet2!$B$1:$B$7)</f>
        <v>3</v>
      </c>
      <c r="CA6" s="2"/>
      <c r="CC6" s="2"/>
      <c r="CD6" s="2" t="s">
        <v>116</v>
      </c>
      <c r="CE6">
        <f>_xlfn.XLOOKUP(CD6,Sheet2!$A$1:$A$7,Sheet2!$B$1:$B$7)</f>
        <v>5</v>
      </c>
      <c r="CF6" s="2"/>
      <c r="CG6" s="2" t="s">
        <v>116</v>
      </c>
      <c r="CH6">
        <f>_xlfn.XLOOKUP(CG6,Sheet2!$A$1:$A$7,Sheet2!$B$1:$B$7)</f>
        <v>5</v>
      </c>
      <c r="CI6" s="2"/>
      <c r="CJ6" s="2" t="s">
        <v>121</v>
      </c>
      <c r="CK6">
        <f>_xlfn.XLOOKUP(CJ6,Sheet2!$A$1:$A$7,Sheet2!$B$1:$B$7)</f>
        <v>3</v>
      </c>
      <c r="CL6" s="2"/>
      <c r="CM6" s="2" t="s">
        <v>117</v>
      </c>
      <c r="CN6">
        <f>_xlfn.XLOOKUP(CM6,Sheet2!$A$1:$A$7,Sheet2!$B$1:$B$7)</f>
        <v>1</v>
      </c>
      <c r="CO6" s="2"/>
      <c r="CQ6" s="2"/>
      <c r="CR6" s="2" t="s">
        <v>118</v>
      </c>
      <c r="CS6">
        <f>_xlfn.XLOOKUP(CR6,Sheet2!$A$1:$A$7,Sheet2!$B$1:$B$7)</f>
        <v>4</v>
      </c>
      <c r="CT6" s="2"/>
      <c r="CU6" s="2" t="s">
        <v>121</v>
      </c>
      <c r="CV6">
        <f>_xlfn.XLOOKUP(CU6,Sheet2!$A$1:$A$7,Sheet2!$B$1:$B$7)</f>
        <v>3</v>
      </c>
      <c r="CW6" s="2"/>
      <c r="CX6" s="2" t="s">
        <v>121</v>
      </c>
      <c r="CY6">
        <f>_xlfn.XLOOKUP(CX6,Sheet2!$A$1:$A$7,Sheet2!$B$1:$B$7)</f>
        <v>3</v>
      </c>
      <c r="CZ6" s="2"/>
      <c r="DA6" s="2" t="s">
        <v>121</v>
      </c>
      <c r="DB6">
        <f>_xlfn.XLOOKUP(DA6,Sheet2!$A$1:$A$7,Sheet2!$B$1:$B$7)</f>
        <v>3</v>
      </c>
      <c r="DC6" s="2"/>
      <c r="DE6" s="2"/>
      <c r="DF6" s="2" t="s">
        <v>116</v>
      </c>
      <c r="DG6">
        <f>_xlfn.XLOOKUP(DF6,Sheet2!$A$1:$A$7,Sheet2!$B$1:$B$7)</f>
        <v>5</v>
      </c>
      <c r="DH6" s="2"/>
      <c r="DI6" s="2" t="s">
        <v>117</v>
      </c>
      <c r="DJ6">
        <f>_xlfn.XLOOKUP(DI6,Sheet2!$A$1:$A$7,Sheet2!$B$1:$B$7)</f>
        <v>1</v>
      </c>
      <c r="DK6" s="2"/>
    </row>
    <row r="7" spans="1:115" x14ac:dyDescent="0.25">
      <c r="A7">
        <v>6</v>
      </c>
      <c r="B7" s="1">
        <v>46002.603263888901</v>
      </c>
      <c r="C7" s="1">
        <v>46002.613298611097</v>
      </c>
      <c r="D7" s="2" t="s">
        <v>127</v>
      </c>
      <c r="E7" s="2"/>
      <c r="G7" s="2"/>
      <c r="H7" s="1"/>
      <c r="J7" s="2"/>
      <c r="K7" s="2" t="s">
        <v>118</v>
      </c>
      <c r="L7">
        <f>_xlfn.XLOOKUP(K7,Sheet2!$A$1:$A$7,Sheet2!$B$1:$B$7)</f>
        <v>4</v>
      </c>
      <c r="M7" s="2"/>
      <c r="N7" s="2" t="s">
        <v>116</v>
      </c>
      <c r="O7">
        <f>_xlfn.XLOOKUP(N7,Sheet2!$A$1:$A$7,Sheet2!$B$1:$B$7)</f>
        <v>5</v>
      </c>
      <c r="P7" s="2"/>
      <c r="Q7" s="2" t="s">
        <v>121</v>
      </c>
      <c r="R7">
        <f>_xlfn.XLOOKUP(Q7,Sheet2!$A$1:$A$7,Sheet2!$B$1:$B$7)</f>
        <v>3</v>
      </c>
      <c r="S7" s="2"/>
      <c r="T7" s="2" t="s">
        <v>116</v>
      </c>
      <c r="U7">
        <f>_xlfn.XLOOKUP(T7,Sheet2!$A$1:$A$7,Sheet2!$B$1:$B$7)</f>
        <v>5</v>
      </c>
      <c r="V7" s="2"/>
      <c r="X7" s="2"/>
      <c r="Y7" s="2" t="s">
        <v>120</v>
      </c>
      <c r="Z7">
        <f>_xlfn.XLOOKUP(Y7,Sheet2!$A$1:$A$7,Sheet2!$B$1:$B$7)</f>
        <v>6</v>
      </c>
      <c r="AA7" s="2"/>
      <c r="AB7" s="2" t="s">
        <v>120</v>
      </c>
      <c r="AC7">
        <f>_xlfn.XLOOKUP(AB7,Sheet2!$A$1:$A$7,Sheet2!$B$1:$B$7)</f>
        <v>6</v>
      </c>
      <c r="AD7" s="2"/>
      <c r="AE7" s="2" t="s">
        <v>121</v>
      </c>
      <c r="AF7">
        <f>_xlfn.XLOOKUP(AE7,Sheet2!$A$1:$A$7,Sheet2!$B$1:$B$7)</f>
        <v>3</v>
      </c>
      <c r="AG7" s="2"/>
      <c r="AI7" s="2"/>
      <c r="AJ7" s="2" t="s">
        <v>120</v>
      </c>
      <c r="AK7">
        <f>_xlfn.XLOOKUP(AJ7,Sheet2!$A$1:$A$7,Sheet2!$B$1:$B$7)</f>
        <v>6</v>
      </c>
      <c r="AL7" s="2"/>
      <c r="AM7" s="2" t="s">
        <v>120</v>
      </c>
      <c r="AN7">
        <f>_xlfn.XLOOKUP(AM7,Sheet2!$A$1:$A$7,Sheet2!$B$1:$B$7)</f>
        <v>6</v>
      </c>
      <c r="AO7" s="2"/>
      <c r="AP7" s="2" t="s">
        <v>116</v>
      </c>
      <c r="AQ7">
        <f>_xlfn.XLOOKUP(AP7,Sheet2!$A$1:$A$7,Sheet2!$B$1:$B$7)</f>
        <v>5</v>
      </c>
      <c r="AR7" s="2"/>
      <c r="AS7" s="2" t="s">
        <v>116</v>
      </c>
      <c r="AT7">
        <f>_xlfn.XLOOKUP(AS7,Sheet2!$A$1:$A$7,Sheet2!$B$1:$B$7)</f>
        <v>5</v>
      </c>
      <c r="AU7" s="2"/>
      <c r="AV7" s="2" t="s">
        <v>116</v>
      </c>
      <c r="AW7">
        <f>_xlfn.XLOOKUP(AV7,Sheet2!$A$1:$A$7,Sheet2!$B$1:$B$7)</f>
        <v>5</v>
      </c>
      <c r="AX7" s="2"/>
      <c r="AY7" s="2" t="s">
        <v>116</v>
      </c>
      <c r="AZ7">
        <f>_xlfn.XLOOKUP(AY7,Sheet2!$A$1:$A$7,Sheet2!$B$1:$B$7)</f>
        <v>5</v>
      </c>
      <c r="BA7" s="2"/>
      <c r="BB7" s="2" t="s">
        <v>120</v>
      </c>
      <c r="BC7">
        <f>_xlfn.XLOOKUP(BB7,Sheet2!$A$1:$A$7,Sheet2!$B$1:$B$7)</f>
        <v>6</v>
      </c>
      <c r="BD7" s="2"/>
      <c r="BE7" s="2" t="s">
        <v>118</v>
      </c>
      <c r="BF7">
        <f>_xlfn.XLOOKUP(BE7,Sheet2!$A$1:$A$7,Sheet2!$B$1:$B$7)</f>
        <v>4</v>
      </c>
      <c r="BG7" s="2"/>
      <c r="BH7" s="2" t="s">
        <v>116</v>
      </c>
      <c r="BI7">
        <f>_xlfn.XLOOKUP(BH7,Sheet2!$A$1:$A$7,Sheet2!$B$1:$B$7)</f>
        <v>5</v>
      </c>
      <c r="BJ7" s="2"/>
      <c r="BK7" s="2" t="s">
        <v>116</v>
      </c>
      <c r="BL7">
        <f>_xlfn.XLOOKUP(BK7,Sheet2!$A$1:$A$7,Sheet2!$B$1:$B$7)</f>
        <v>5</v>
      </c>
      <c r="BM7" s="2"/>
      <c r="BN7" s="2" t="s">
        <v>120</v>
      </c>
      <c r="BO7">
        <f>_xlfn.XLOOKUP(BN7,Sheet2!$A$1:$A$7,Sheet2!$B$1:$B$7)</f>
        <v>6</v>
      </c>
      <c r="BP7" s="2"/>
      <c r="BQ7" s="2" t="s">
        <v>118</v>
      </c>
      <c r="BR7">
        <f>_xlfn.XLOOKUP(BQ7,Sheet2!$A$1:$A$7,Sheet2!$B$1:$B$7)</f>
        <v>4</v>
      </c>
      <c r="BS7" s="2"/>
      <c r="BU7" s="2"/>
      <c r="BV7" s="2" t="s">
        <v>120</v>
      </c>
      <c r="BW7">
        <f>_xlfn.XLOOKUP(BV7,Sheet2!$A$1:$A$7,Sheet2!$B$1:$B$7)</f>
        <v>6</v>
      </c>
      <c r="BX7" s="2"/>
      <c r="BY7" s="2" t="s">
        <v>118</v>
      </c>
      <c r="BZ7">
        <f>_xlfn.XLOOKUP(BY7,Sheet2!$A$1:$A$7,Sheet2!$B$1:$B$7)</f>
        <v>4</v>
      </c>
      <c r="CA7" s="2"/>
      <c r="CC7" s="2"/>
      <c r="CD7" s="2" t="s">
        <v>116</v>
      </c>
      <c r="CE7">
        <f>_xlfn.XLOOKUP(CD7,Sheet2!$A$1:$A$7,Sheet2!$B$1:$B$7)</f>
        <v>5</v>
      </c>
      <c r="CF7" s="2"/>
      <c r="CG7" s="2" t="s">
        <v>118</v>
      </c>
      <c r="CH7">
        <f>_xlfn.XLOOKUP(CG7,Sheet2!$A$1:$A$7,Sheet2!$B$1:$B$7)</f>
        <v>4</v>
      </c>
      <c r="CI7" s="2"/>
      <c r="CJ7" s="2" t="s">
        <v>118</v>
      </c>
      <c r="CK7">
        <f>_xlfn.XLOOKUP(CJ7,Sheet2!$A$1:$A$7,Sheet2!$B$1:$B$7)</f>
        <v>4</v>
      </c>
      <c r="CL7" s="2"/>
      <c r="CM7" s="2" t="s">
        <v>121</v>
      </c>
      <c r="CN7">
        <f>_xlfn.XLOOKUP(CM7,Sheet2!$A$1:$A$7,Sheet2!$B$1:$B$7)</f>
        <v>3</v>
      </c>
      <c r="CO7" s="2"/>
      <c r="CQ7" s="2"/>
      <c r="CR7" s="2" t="s">
        <v>117</v>
      </c>
      <c r="CS7">
        <f>_xlfn.XLOOKUP(CR7,Sheet2!$A$1:$A$7,Sheet2!$B$1:$B$7)</f>
        <v>1</v>
      </c>
      <c r="CT7" s="2"/>
      <c r="CU7" s="2" t="s">
        <v>120</v>
      </c>
      <c r="CV7">
        <f>_xlfn.XLOOKUP(CU7,Sheet2!$A$1:$A$7,Sheet2!$B$1:$B$7)</f>
        <v>6</v>
      </c>
      <c r="CW7" s="2"/>
      <c r="CX7" s="2" t="s">
        <v>117</v>
      </c>
      <c r="CY7">
        <f>_xlfn.XLOOKUP(CX7,Sheet2!$A$1:$A$7,Sheet2!$B$1:$B$7)</f>
        <v>1</v>
      </c>
      <c r="CZ7" s="2"/>
      <c r="DA7" s="2" t="s">
        <v>120</v>
      </c>
      <c r="DB7">
        <f>_xlfn.XLOOKUP(DA7,Sheet2!$A$1:$A$7,Sheet2!$B$1:$B$7)</f>
        <v>6</v>
      </c>
      <c r="DC7" s="2"/>
      <c r="DE7" s="2"/>
      <c r="DF7" s="2" t="s">
        <v>122</v>
      </c>
      <c r="DG7">
        <f>_xlfn.XLOOKUP(DF7,Sheet2!$A$1:$A$7,Sheet2!$B$1:$B$7)</f>
        <v>7</v>
      </c>
      <c r="DH7" s="2"/>
      <c r="DI7" s="2" t="s">
        <v>122</v>
      </c>
      <c r="DJ7">
        <f>_xlfn.XLOOKUP(DI7,Sheet2!$A$1:$A$7,Sheet2!$B$1:$B$7)</f>
        <v>7</v>
      </c>
      <c r="DK7" s="2"/>
    </row>
    <row r="8" spans="1:115" x14ac:dyDescent="0.25">
      <c r="A8">
        <v>7</v>
      </c>
      <c r="B8" s="1">
        <v>46002.655729166698</v>
      </c>
      <c r="C8" s="1">
        <v>46002.681006944404</v>
      </c>
      <c r="D8" s="2" t="s">
        <v>128</v>
      </c>
      <c r="E8" s="2"/>
      <c r="G8" s="2"/>
      <c r="H8" s="1"/>
      <c r="J8" s="2"/>
      <c r="K8" s="2" t="s">
        <v>121</v>
      </c>
      <c r="L8">
        <f>_xlfn.XLOOKUP(K8,Sheet2!$A$1:$A$7,Sheet2!$B$1:$B$7)</f>
        <v>3</v>
      </c>
      <c r="M8" s="2"/>
      <c r="N8" s="2" t="s">
        <v>120</v>
      </c>
      <c r="O8">
        <f>_xlfn.XLOOKUP(N8,Sheet2!$A$1:$A$7,Sheet2!$B$1:$B$7)</f>
        <v>6</v>
      </c>
      <c r="P8" s="2"/>
      <c r="Q8" s="2" t="s">
        <v>118</v>
      </c>
      <c r="R8">
        <f>_xlfn.XLOOKUP(Q8,Sheet2!$A$1:$A$7,Sheet2!$B$1:$B$7)</f>
        <v>4</v>
      </c>
      <c r="S8" s="2"/>
      <c r="T8" s="2" t="s">
        <v>116</v>
      </c>
      <c r="U8">
        <f>_xlfn.XLOOKUP(T8,Sheet2!$A$1:$A$7,Sheet2!$B$1:$B$7)</f>
        <v>5</v>
      </c>
      <c r="V8" s="2"/>
      <c r="X8" s="2"/>
      <c r="Y8" s="2" t="s">
        <v>122</v>
      </c>
      <c r="Z8">
        <f>_xlfn.XLOOKUP(Y8,Sheet2!$A$1:$A$7,Sheet2!$B$1:$B$7)</f>
        <v>7</v>
      </c>
      <c r="AA8" s="2"/>
      <c r="AB8" s="2" t="s">
        <v>122</v>
      </c>
      <c r="AC8">
        <f>_xlfn.XLOOKUP(AB8,Sheet2!$A$1:$A$7,Sheet2!$B$1:$B$7)</f>
        <v>7</v>
      </c>
      <c r="AD8" s="2"/>
      <c r="AE8" s="2" t="s">
        <v>122</v>
      </c>
      <c r="AF8">
        <f>_xlfn.XLOOKUP(AE8,Sheet2!$A$1:$A$7,Sheet2!$B$1:$B$7)</f>
        <v>7</v>
      </c>
      <c r="AG8" s="2"/>
      <c r="AI8" s="2"/>
      <c r="AJ8" s="2" t="s">
        <v>118</v>
      </c>
      <c r="AK8">
        <f>_xlfn.XLOOKUP(AJ8,Sheet2!$A$1:$A$7,Sheet2!$B$1:$B$7)</f>
        <v>4</v>
      </c>
      <c r="AL8" s="2"/>
      <c r="AM8" s="2" t="s">
        <v>121</v>
      </c>
      <c r="AN8">
        <f>_xlfn.XLOOKUP(AM8,Sheet2!$A$1:$A$7,Sheet2!$B$1:$B$7)</f>
        <v>3</v>
      </c>
      <c r="AO8" s="2"/>
      <c r="AP8" s="2" t="s">
        <v>116</v>
      </c>
      <c r="AQ8">
        <f>_xlfn.XLOOKUP(AP8,Sheet2!$A$1:$A$7,Sheet2!$B$1:$B$7)</f>
        <v>5</v>
      </c>
      <c r="AR8" s="2"/>
      <c r="AS8" s="2" t="s">
        <v>120</v>
      </c>
      <c r="AT8">
        <f>_xlfn.XLOOKUP(AS8,Sheet2!$A$1:$A$7,Sheet2!$B$1:$B$7)</f>
        <v>6</v>
      </c>
      <c r="AU8" s="2"/>
      <c r="AV8" s="2" t="s">
        <v>120</v>
      </c>
      <c r="AW8">
        <f>_xlfn.XLOOKUP(AV8,Sheet2!$A$1:$A$7,Sheet2!$B$1:$B$7)</f>
        <v>6</v>
      </c>
      <c r="AX8" s="2"/>
      <c r="AY8" s="2" t="s">
        <v>120</v>
      </c>
      <c r="AZ8">
        <f>_xlfn.XLOOKUP(AY8,Sheet2!$A$1:$A$7,Sheet2!$B$1:$B$7)</f>
        <v>6</v>
      </c>
      <c r="BA8" s="2"/>
      <c r="BB8" s="2" t="s">
        <v>120</v>
      </c>
      <c r="BC8">
        <f>_xlfn.XLOOKUP(BB8,Sheet2!$A$1:$A$7,Sheet2!$B$1:$B$7)</f>
        <v>6</v>
      </c>
      <c r="BD8" s="2"/>
      <c r="BE8" s="2" t="s">
        <v>122</v>
      </c>
      <c r="BF8">
        <f>_xlfn.XLOOKUP(BE8,Sheet2!$A$1:$A$7,Sheet2!$B$1:$B$7)</f>
        <v>7</v>
      </c>
      <c r="BG8" s="2"/>
      <c r="BH8" s="2" t="s">
        <v>119</v>
      </c>
      <c r="BI8">
        <f>_xlfn.XLOOKUP(BH8,Sheet2!$A$1:$A$7,Sheet2!$B$1:$B$7)</f>
        <v>2</v>
      </c>
      <c r="BJ8" s="2"/>
      <c r="BK8" s="2" t="s">
        <v>120</v>
      </c>
      <c r="BL8">
        <f>_xlfn.XLOOKUP(BK8,Sheet2!$A$1:$A$7,Sheet2!$B$1:$B$7)</f>
        <v>6</v>
      </c>
      <c r="BM8" s="2"/>
      <c r="BN8" s="2" t="s">
        <v>122</v>
      </c>
      <c r="BO8">
        <f>_xlfn.XLOOKUP(BN8,Sheet2!$A$1:$A$7,Sheet2!$B$1:$B$7)</f>
        <v>7</v>
      </c>
      <c r="BP8" s="2"/>
      <c r="BQ8" s="2" t="s">
        <v>120</v>
      </c>
      <c r="BR8">
        <f>_xlfn.XLOOKUP(BQ8,Sheet2!$A$1:$A$7,Sheet2!$B$1:$B$7)</f>
        <v>6</v>
      </c>
      <c r="BS8" s="2"/>
      <c r="BU8" s="2"/>
      <c r="BV8" s="2" t="s">
        <v>120</v>
      </c>
      <c r="BW8">
        <f>_xlfn.XLOOKUP(BV8,Sheet2!$A$1:$A$7,Sheet2!$B$1:$B$7)</f>
        <v>6</v>
      </c>
      <c r="BX8" s="2"/>
      <c r="BY8" s="2" t="s">
        <v>122</v>
      </c>
      <c r="BZ8">
        <f>_xlfn.XLOOKUP(BY8,Sheet2!$A$1:$A$7,Sheet2!$B$1:$B$7)</f>
        <v>7</v>
      </c>
      <c r="CA8" s="2"/>
      <c r="CC8" s="2"/>
      <c r="CD8" s="2" t="s">
        <v>121</v>
      </c>
      <c r="CE8">
        <f>_xlfn.XLOOKUP(CD8,Sheet2!$A$1:$A$7,Sheet2!$B$1:$B$7)</f>
        <v>3</v>
      </c>
      <c r="CF8" s="2"/>
      <c r="CG8" s="2" t="s">
        <v>116</v>
      </c>
      <c r="CH8">
        <f>_xlfn.XLOOKUP(CG8,Sheet2!$A$1:$A$7,Sheet2!$B$1:$B$7)</f>
        <v>5</v>
      </c>
      <c r="CI8" s="2"/>
      <c r="CJ8" s="2" t="s">
        <v>120</v>
      </c>
      <c r="CK8">
        <f>_xlfn.XLOOKUP(CJ8,Sheet2!$A$1:$A$7,Sheet2!$B$1:$B$7)</f>
        <v>6</v>
      </c>
      <c r="CL8" s="2"/>
      <c r="CM8" s="2" t="s">
        <v>117</v>
      </c>
      <c r="CN8">
        <f>_xlfn.XLOOKUP(CM8,Sheet2!$A$1:$A$7,Sheet2!$B$1:$B$7)</f>
        <v>1</v>
      </c>
      <c r="CO8" s="2"/>
      <c r="CQ8" s="2"/>
      <c r="CR8" s="2" t="s">
        <v>119</v>
      </c>
      <c r="CS8">
        <f>_xlfn.XLOOKUP(CR8,Sheet2!$A$1:$A$7,Sheet2!$B$1:$B$7)</f>
        <v>2</v>
      </c>
      <c r="CT8" s="2"/>
      <c r="CU8" s="2" t="s">
        <v>116</v>
      </c>
      <c r="CV8">
        <f>_xlfn.XLOOKUP(CU8,Sheet2!$A$1:$A$7,Sheet2!$B$1:$B$7)</f>
        <v>5</v>
      </c>
      <c r="CW8" s="2"/>
      <c r="CX8" s="2" t="s">
        <v>121</v>
      </c>
      <c r="CY8">
        <f>_xlfn.XLOOKUP(CX8,Sheet2!$A$1:$A$7,Sheet2!$B$1:$B$7)</f>
        <v>3</v>
      </c>
      <c r="CZ8" s="2"/>
      <c r="DA8" s="2" t="s">
        <v>116</v>
      </c>
      <c r="DB8">
        <f>_xlfn.XLOOKUP(DA8,Sheet2!$A$1:$A$7,Sheet2!$B$1:$B$7)</f>
        <v>5</v>
      </c>
      <c r="DC8" s="2"/>
      <c r="DE8" s="2"/>
      <c r="DF8" s="2" t="s">
        <v>117</v>
      </c>
      <c r="DG8">
        <f>_xlfn.XLOOKUP(DF8,Sheet2!$A$1:$A$7,Sheet2!$B$1:$B$7)</f>
        <v>1</v>
      </c>
      <c r="DH8" s="2"/>
      <c r="DI8" s="2" t="s">
        <v>119</v>
      </c>
      <c r="DJ8">
        <f>_xlfn.XLOOKUP(DI8,Sheet2!$A$1:$A$7,Sheet2!$B$1:$B$7)</f>
        <v>2</v>
      </c>
      <c r="DK8" s="2"/>
    </row>
    <row r="9" spans="1:115" x14ac:dyDescent="0.25">
      <c r="A9">
        <v>8</v>
      </c>
      <c r="B9" s="1">
        <v>46002.756307870397</v>
      </c>
      <c r="C9" s="1">
        <v>46002.766736111102</v>
      </c>
      <c r="D9" s="2" t="s">
        <v>129</v>
      </c>
      <c r="E9" s="2"/>
      <c r="G9" s="2"/>
      <c r="H9" s="1"/>
      <c r="J9" s="2"/>
      <c r="K9" s="2" t="s">
        <v>122</v>
      </c>
      <c r="L9">
        <f>_xlfn.XLOOKUP(K9,Sheet2!$A$1:$A$7,Sheet2!$B$1:$B$7)</f>
        <v>7</v>
      </c>
      <c r="M9" s="2"/>
      <c r="N9" s="2" t="s">
        <v>117</v>
      </c>
      <c r="O9">
        <f>_xlfn.XLOOKUP(N9,Sheet2!$A$1:$A$7,Sheet2!$B$1:$B$7)</f>
        <v>1</v>
      </c>
      <c r="P9" s="2"/>
      <c r="Q9" s="2" t="s">
        <v>122</v>
      </c>
      <c r="R9">
        <f>_xlfn.XLOOKUP(Q9,Sheet2!$A$1:$A$7,Sheet2!$B$1:$B$7)</f>
        <v>7</v>
      </c>
      <c r="S9" s="2"/>
      <c r="T9" s="2" t="s">
        <v>117</v>
      </c>
      <c r="U9">
        <f>_xlfn.XLOOKUP(T9,Sheet2!$A$1:$A$7,Sheet2!$B$1:$B$7)</f>
        <v>1</v>
      </c>
      <c r="V9" s="2"/>
      <c r="X9" s="2"/>
      <c r="Y9" s="2" t="s">
        <v>120</v>
      </c>
      <c r="Z9">
        <f>_xlfn.XLOOKUP(Y9,Sheet2!$A$1:$A$7,Sheet2!$B$1:$B$7)</f>
        <v>6</v>
      </c>
      <c r="AA9" s="2"/>
      <c r="AB9" s="2" t="s">
        <v>120</v>
      </c>
      <c r="AC9">
        <f>_xlfn.XLOOKUP(AB9,Sheet2!$A$1:$A$7,Sheet2!$B$1:$B$7)</f>
        <v>6</v>
      </c>
      <c r="AD9" s="2"/>
      <c r="AE9" s="2" t="s">
        <v>120</v>
      </c>
      <c r="AF9">
        <f>_xlfn.XLOOKUP(AE9,Sheet2!$A$1:$A$7,Sheet2!$B$1:$B$7)</f>
        <v>6</v>
      </c>
      <c r="AG9" s="2"/>
      <c r="AI9" s="2"/>
      <c r="AJ9" s="2" t="s">
        <v>120</v>
      </c>
      <c r="AK9">
        <f>_xlfn.XLOOKUP(AJ9,Sheet2!$A$1:$A$7,Sheet2!$B$1:$B$7)</f>
        <v>6</v>
      </c>
      <c r="AL9" s="2"/>
      <c r="AM9" s="2" t="s">
        <v>120</v>
      </c>
      <c r="AN9">
        <f>_xlfn.XLOOKUP(AM9,Sheet2!$A$1:$A$7,Sheet2!$B$1:$B$7)</f>
        <v>6</v>
      </c>
      <c r="AO9" s="2"/>
      <c r="AP9" s="2" t="s">
        <v>116</v>
      </c>
      <c r="AQ9">
        <f>_xlfn.XLOOKUP(AP9,Sheet2!$A$1:$A$7,Sheet2!$B$1:$B$7)</f>
        <v>5</v>
      </c>
      <c r="AR9" s="2"/>
      <c r="AS9" s="2" t="s">
        <v>122</v>
      </c>
      <c r="AT9">
        <f>_xlfn.XLOOKUP(AS9,Sheet2!$A$1:$A$7,Sheet2!$B$1:$B$7)</f>
        <v>7</v>
      </c>
      <c r="AU9" s="2"/>
      <c r="AV9" s="2" t="s">
        <v>120</v>
      </c>
      <c r="AW9">
        <f>_xlfn.XLOOKUP(AV9,Sheet2!$A$1:$A$7,Sheet2!$B$1:$B$7)</f>
        <v>6</v>
      </c>
      <c r="AX9" s="2"/>
      <c r="AY9" s="2" t="s">
        <v>120</v>
      </c>
      <c r="AZ9">
        <f>_xlfn.XLOOKUP(AY9,Sheet2!$A$1:$A$7,Sheet2!$B$1:$B$7)</f>
        <v>6</v>
      </c>
      <c r="BA9" s="2"/>
      <c r="BB9" s="2" t="s">
        <v>118</v>
      </c>
      <c r="BC9">
        <f>_xlfn.XLOOKUP(BB9,Sheet2!$A$1:$A$7,Sheet2!$B$1:$B$7)</f>
        <v>4</v>
      </c>
      <c r="BD9" s="2"/>
      <c r="BE9" s="2" t="s">
        <v>117</v>
      </c>
      <c r="BF9">
        <f>_xlfn.XLOOKUP(BE9,Sheet2!$A$1:$A$7,Sheet2!$B$1:$B$7)</f>
        <v>1</v>
      </c>
      <c r="BG9" s="2"/>
      <c r="BH9" s="2" t="s">
        <v>116</v>
      </c>
      <c r="BI9">
        <f>_xlfn.XLOOKUP(BH9,Sheet2!$A$1:$A$7,Sheet2!$B$1:$B$7)</f>
        <v>5</v>
      </c>
      <c r="BJ9" s="2"/>
      <c r="BK9" s="2" t="s">
        <v>120</v>
      </c>
      <c r="BL9">
        <f>_xlfn.XLOOKUP(BK9,Sheet2!$A$1:$A$7,Sheet2!$B$1:$B$7)</f>
        <v>6</v>
      </c>
      <c r="BM9" s="2"/>
      <c r="BN9" s="2" t="s">
        <v>120</v>
      </c>
      <c r="BO9">
        <f>_xlfn.XLOOKUP(BN9,Sheet2!$A$1:$A$7,Sheet2!$B$1:$B$7)</f>
        <v>6</v>
      </c>
      <c r="BP9" s="2"/>
      <c r="BQ9" s="2" t="s">
        <v>122</v>
      </c>
      <c r="BR9">
        <f>_xlfn.XLOOKUP(BQ9,Sheet2!$A$1:$A$7,Sheet2!$B$1:$B$7)</f>
        <v>7</v>
      </c>
      <c r="BS9" s="2"/>
      <c r="BU9" s="2"/>
      <c r="BV9" s="2" t="s">
        <v>122</v>
      </c>
      <c r="BW9">
        <f>_xlfn.XLOOKUP(BV9,Sheet2!$A$1:$A$7,Sheet2!$B$1:$B$7)</f>
        <v>7</v>
      </c>
      <c r="BX9" s="2"/>
      <c r="BY9" s="2" t="s">
        <v>116</v>
      </c>
      <c r="BZ9">
        <f>_xlfn.XLOOKUP(BY9,Sheet2!$A$1:$A$7,Sheet2!$B$1:$B$7)</f>
        <v>5</v>
      </c>
      <c r="CA9" s="2"/>
      <c r="CC9" s="2"/>
      <c r="CD9" s="2" t="s">
        <v>120</v>
      </c>
      <c r="CE9">
        <f>_xlfn.XLOOKUP(CD9,Sheet2!$A$1:$A$7,Sheet2!$B$1:$B$7)</f>
        <v>6</v>
      </c>
      <c r="CF9" s="2"/>
      <c r="CG9" s="2" t="s">
        <v>122</v>
      </c>
      <c r="CH9">
        <f>_xlfn.XLOOKUP(CG9,Sheet2!$A$1:$A$7,Sheet2!$B$1:$B$7)</f>
        <v>7</v>
      </c>
      <c r="CI9" s="2"/>
      <c r="CJ9" s="2" t="s">
        <v>122</v>
      </c>
      <c r="CK9">
        <f>_xlfn.XLOOKUP(CJ9,Sheet2!$A$1:$A$7,Sheet2!$B$1:$B$7)</f>
        <v>7</v>
      </c>
      <c r="CL9" s="2"/>
      <c r="CM9" s="2" t="s">
        <v>117</v>
      </c>
      <c r="CN9">
        <f>_xlfn.XLOOKUP(CM9,Sheet2!$A$1:$A$7,Sheet2!$B$1:$B$7)</f>
        <v>1</v>
      </c>
      <c r="CO9" s="2"/>
      <c r="CQ9" s="2"/>
      <c r="CR9" s="2" t="s">
        <v>120</v>
      </c>
      <c r="CS9">
        <f>_xlfn.XLOOKUP(CR9,Sheet2!$A$1:$A$7,Sheet2!$B$1:$B$7)</f>
        <v>6</v>
      </c>
      <c r="CT9" s="2"/>
      <c r="CU9" s="2" t="s">
        <v>120</v>
      </c>
      <c r="CV9">
        <f>_xlfn.XLOOKUP(CU9,Sheet2!$A$1:$A$7,Sheet2!$B$1:$B$7)</f>
        <v>6</v>
      </c>
      <c r="CW9" s="2"/>
      <c r="CX9" s="2" t="s">
        <v>122</v>
      </c>
      <c r="CY9">
        <f>_xlfn.XLOOKUP(CX9,Sheet2!$A$1:$A$7,Sheet2!$B$1:$B$7)</f>
        <v>7</v>
      </c>
      <c r="CZ9" s="2"/>
      <c r="DA9" s="2" t="s">
        <v>117</v>
      </c>
      <c r="DB9">
        <f>_xlfn.XLOOKUP(DA9,Sheet2!$A$1:$A$7,Sheet2!$B$1:$B$7)</f>
        <v>1</v>
      </c>
      <c r="DC9" s="2"/>
      <c r="DE9" s="2"/>
      <c r="DF9" s="2" t="s">
        <v>119</v>
      </c>
      <c r="DG9">
        <f>_xlfn.XLOOKUP(DF9,Sheet2!$A$1:$A$7,Sheet2!$B$1:$B$7)</f>
        <v>2</v>
      </c>
      <c r="DH9" s="2"/>
      <c r="DI9" s="2" t="s">
        <v>117</v>
      </c>
      <c r="DJ9">
        <f>_xlfn.XLOOKUP(DI9,Sheet2!$A$1:$A$7,Sheet2!$B$1:$B$7)</f>
        <v>1</v>
      </c>
      <c r="DK9" s="2"/>
    </row>
    <row r="10" spans="1:115" x14ac:dyDescent="0.25">
      <c r="A10">
        <v>9</v>
      </c>
      <c r="B10" s="1">
        <v>46003.4452199074</v>
      </c>
      <c r="C10" s="1">
        <v>46003.454155092601</v>
      </c>
      <c r="D10" s="2" t="s">
        <v>130</v>
      </c>
      <c r="E10" s="2"/>
      <c r="G10" s="2"/>
      <c r="H10" s="1"/>
      <c r="J10" s="2"/>
      <c r="K10" s="2" t="s">
        <v>120</v>
      </c>
      <c r="L10">
        <f>_xlfn.XLOOKUP(K10,Sheet2!$A$1:$A$7,Sheet2!$B$1:$B$7)</f>
        <v>6</v>
      </c>
      <c r="M10" s="2"/>
      <c r="N10" s="2" t="s">
        <v>119</v>
      </c>
      <c r="O10">
        <f>_xlfn.XLOOKUP(N10,Sheet2!$A$1:$A$7,Sheet2!$B$1:$B$7)</f>
        <v>2</v>
      </c>
      <c r="P10" s="2"/>
      <c r="Q10" s="2" t="s">
        <v>120</v>
      </c>
      <c r="R10">
        <f>_xlfn.XLOOKUP(Q10,Sheet2!$A$1:$A$7,Sheet2!$B$1:$B$7)</f>
        <v>6</v>
      </c>
      <c r="S10" s="2"/>
      <c r="T10" s="2" t="s">
        <v>117</v>
      </c>
      <c r="U10">
        <f>_xlfn.XLOOKUP(T10,Sheet2!$A$1:$A$7,Sheet2!$B$1:$B$7)</f>
        <v>1</v>
      </c>
      <c r="V10" s="2"/>
      <c r="X10" s="2"/>
      <c r="Y10" s="2" t="s">
        <v>116</v>
      </c>
      <c r="Z10">
        <f>_xlfn.XLOOKUP(Y10,Sheet2!$A$1:$A$7,Sheet2!$B$1:$B$7)</f>
        <v>5</v>
      </c>
      <c r="AA10" s="2"/>
      <c r="AB10" s="2" t="s">
        <v>116</v>
      </c>
      <c r="AC10">
        <f>_xlfn.XLOOKUP(AB10,Sheet2!$A$1:$A$7,Sheet2!$B$1:$B$7)</f>
        <v>5</v>
      </c>
      <c r="AD10" s="2"/>
      <c r="AE10" s="2" t="s">
        <v>120</v>
      </c>
      <c r="AF10">
        <f>_xlfn.XLOOKUP(AE10,Sheet2!$A$1:$A$7,Sheet2!$B$1:$B$7)</f>
        <v>6</v>
      </c>
      <c r="AG10" s="2"/>
      <c r="AI10" s="2"/>
      <c r="AJ10" s="2" t="s">
        <v>120</v>
      </c>
      <c r="AK10">
        <f>_xlfn.XLOOKUP(AJ10,Sheet2!$A$1:$A$7,Sheet2!$B$1:$B$7)</f>
        <v>6</v>
      </c>
      <c r="AL10" s="2"/>
      <c r="AM10" s="2" t="s">
        <v>116</v>
      </c>
      <c r="AN10">
        <f>_xlfn.XLOOKUP(AM10,Sheet2!$A$1:$A$7,Sheet2!$B$1:$B$7)</f>
        <v>5</v>
      </c>
      <c r="AO10" s="2"/>
      <c r="AP10" s="2" t="s">
        <v>118</v>
      </c>
      <c r="AQ10">
        <f>_xlfn.XLOOKUP(AP10,Sheet2!$A$1:$A$7,Sheet2!$B$1:$B$7)</f>
        <v>4</v>
      </c>
      <c r="AR10" s="2"/>
      <c r="AS10" s="2" t="s">
        <v>116</v>
      </c>
      <c r="AT10">
        <f>_xlfn.XLOOKUP(AS10,Sheet2!$A$1:$A$7,Sheet2!$B$1:$B$7)</f>
        <v>5</v>
      </c>
      <c r="AU10" s="2"/>
      <c r="AV10" s="2" t="s">
        <v>116</v>
      </c>
      <c r="AW10">
        <f>_xlfn.XLOOKUP(AV10,Sheet2!$A$1:$A$7,Sheet2!$B$1:$B$7)</f>
        <v>5</v>
      </c>
      <c r="AX10" s="2"/>
      <c r="AY10" s="2" t="s">
        <v>118</v>
      </c>
      <c r="AZ10">
        <f>_xlfn.XLOOKUP(AY10,Sheet2!$A$1:$A$7,Sheet2!$B$1:$B$7)</f>
        <v>4</v>
      </c>
      <c r="BA10" s="2"/>
      <c r="BB10" s="2" t="s">
        <v>116</v>
      </c>
      <c r="BC10">
        <f>_xlfn.XLOOKUP(BB10,Sheet2!$A$1:$A$7,Sheet2!$B$1:$B$7)</f>
        <v>5</v>
      </c>
      <c r="BD10" s="2"/>
      <c r="BE10" s="2" t="s">
        <v>118</v>
      </c>
      <c r="BF10">
        <f>_xlfn.XLOOKUP(BE10,Sheet2!$A$1:$A$7,Sheet2!$B$1:$B$7)</f>
        <v>4</v>
      </c>
      <c r="BG10" s="2"/>
      <c r="BH10" s="2" t="s">
        <v>118</v>
      </c>
      <c r="BI10">
        <f>_xlfn.XLOOKUP(BH10,Sheet2!$A$1:$A$7,Sheet2!$B$1:$B$7)</f>
        <v>4</v>
      </c>
      <c r="BJ10" s="2"/>
      <c r="BK10" s="2" t="s">
        <v>116</v>
      </c>
      <c r="BL10">
        <f>_xlfn.XLOOKUP(BK10,Sheet2!$A$1:$A$7,Sheet2!$B$1:$B$7)</f>
        <v>5</v>
      </c>
      <c r="BM10" s="2"/>
      <c r="BN10" s="2" t="s">
        <v>116</v>
      </c>
      <c r="BO10">
        <f>_xlfn.XLOOKUP(BN10,Sheet2!$A$1:$A$7,Sheet2!$B$1:$B$7)</f>
        <v>5</v>
      </c>
      <c r="BP10" s="2"/>
      <c r="BQ10" s="2" t="s">
        <v>118</v>
      </c>
      <c r="BR10">
        <f>_xlfn.XLOOKUP(BQ10,Sheet2!$A$1:$A$7,Sheet2!$B$1:$B$7)</f>
        <v>4</v>
      </c>
      <c r="BS10" s="2"/>
      <c r="BU10" s="2"/>
      <c r="BV10" s="2" t="s">
        <v>120</v>
      </c>
      <c r="BW10">
        <f>_xlfn.XLOOKUP(BV10,Sheet2!$A$1:$A$7,Sheet2!$B$1:$B$7)</f>
        <v>6</v>
      </c>
      <c r="BX10" s="2"/>
      <c r="BY10" s="2" t="s">
        <v>120</v>
      </c>
      <c r="BZ10">
        <f>_xlfn.XLOOKUP(BY10,Sheet2!$A$1:$A$7,Sheet2!$B$1:$B$7)</f>
        <v>6</v>
      </c>
      <c r="CA10" s="2"/>
      <c r="CC10" s="2"/>
      <c r="CD10" s="2" t="s">
        <v>118</v>
      </c>
      <c r="CE10">
        <f>_xlfn.XLOOKUP(CD10,Sheet2!$A$1:$A$7,Sheet2!$B$1:$B$7)</f>
        <v>4</v>
      </c>
      <c r="CF10" s="2"/>
      <c r="CG10" s="2" t="s">
        <v>116</v>
      </c>
      <c r="CH10">
        <f>_xlfn.XLOOKUP(CG10,Sheet2!$A$1:$A$7,Sheet2!$B$1:$B$7)</f>
        <v>5</v>
      </c>
      <c r="CI10" s="2"/>
      <c r="CJ10" s="2" t="s">
        <v>120</v>
      </c>
      <c r="CK10">
        <f>_xlfn.XLOOKUP(CJ10,Sheet2!$A$1:$A$7,Sheet2!$B$1:$B$7)</f>
        <v>6</v>
      </c>
      <c r="CL10" s="2"/>
      <c r="CM10" s="2" t="s">
        <v>122</v>
      </c>
      <c r="CN10">
        <f>_xlfn.XLOOKUP(CM10,Sheet2!$A$1:$A$7,Sheet2!$B$1:$B$7)</f>
        <v>7</v>
      </c>
      <c r="CO10" s="2"/>
      <c r="CQ10" s="2"/>
      <c r="CR10" s="2" t="s">
        <v>120</v>
      </c>
      <c r="CS10">
        <f>_xlfn.XLOOKUP(CR10,Sheet2!$A$1:$A$7,Sheet2!$B$1:$B$7)</f>
        <v>6</v>
      </c>
      <c r="CT10" s="2"/>
      <c r="CU10" s="2" t="s">
        <v>121</v>
      </c>
      <c r="CV10">
        <f>_xlfn.XLOOKUP(CU10,Sheet2!$A$1:$A$7,Sheet2!$B$1:$B$7)</f>
        <v>3</v>
      </c>
      <c r="CW10" s="2"/>
      <c r="CX10" s="2" t="s">
        <v>118</v>
      </c>
      <c r="CY10">
        <f>_xlfn.XLOOKUP(CX10,Sheet2!$A$1:$A$7,Sheet2!$B$1:$B$7)</f>
        <v>4</v>
      </c>
      <c r="CZ10" s="2"/>
      <c r="DA10" s="2" t="s">
        <v>121</v>
      </c>
      <c r="DB10">
        <f>_xlfn.XLOOKUP(DA10,Sheet2!$A$1:$A$7,Sheet2!$B$1:$B$7)</f>
        <v>3</v>
      </c>
      <c r="DC10" s="2"/>
      <c r="DE10" s="2"/>
      <c r="DF10" s="2" t="s">
        <v>116</v>
      </c>
      <c r="DG10">
        <f>_xlfn.XLOOKUP(DF10,Sheet2!$A$1:$A$7,Sheet2!$B$1:$B$7)</f>
        <v>5</v>
      </c>
      <c r="DH10" s="2"/>
      <c r="DI10" s="2" t="s">
        <v>119</v>
      </c>
      <c r="DJ10">
        <f>_xlfn.XLOOKUP(DI10,Sheet2!$A$1:$A$7,Sheet2!$B$1:$B$7)</f>
        <v>2</v>
      </c>
      <c r="DK10" s="2"/>
    </row>
    <row r="11" spans="1:115" x14ac:dyDescent="0.25">
      <c r="A11">
        <v>10</v>
      </c>
      <c r="B11" s="1">
        <v>46003.728750000002</v>
      </c>
      <c r="C11" s="1">
        <v>46003.7427314815</v>
      </c>
      <c r="D11" s="2" t="s">
        <v>131</v>
      </c>
      <c r="E11" s="2"/>
      <c r="G11" s="2"/>
      <c r="H11" s="1"/>
      <c r="J11" s="2"/>
      <c r="K11" s="2" t="s">
        <v>120</v>
      </c>
      <c r="L11">
        <f>_xlfn.XLOOKUP(K11,Sheet2!$A$1:$A$7,Sheet2!$B$1:$B$7)</f>
        <v>6</v>
      </c>
      <c r="M11" s="2"/>
      <c r="N11" s="2" t="s">
        <v>119</v>
      </c>
      <c r="O11">
        <f>_xlfn.XLOOKUP(N11,Sheet2!$A$1:$A$7,Sheet2!$B$1:$B$7)</f>
        <v>2</v>
      </c>
      <c r="P11" s="2"/>
      <c r="Q11" s="2" t="s">
        <v>120</v>
      </c>
      <c r="R11">
        <f>_xlfn.XLOOKUP(Q11,Sheet2!$A$1:$A$7,Sheet2!$B$1:$B$7)</f>
        <v>6</v>
      </c>
      <c r="S11" s="2"/>
      <c r="T11" s="2" t="s">
        <v>119</v>
      </c>
      <c r="U11">
        <f>_xlfn.XLOOKUP(T11,Sheet2!$A$1:$A$7,Sheet2!$B$1:$B$7)</f>
        <v>2</v>
      </c>
      <c r="V11" s="2"/>
      <c r="X11" s="2"/>
      <c r="Y11" s="2" t="s">
        <v>120</v>
      </c>
      <c r="Z11">
        <f>_xlfn.XLOOKUP(Y11,Sheet2!$A$1:$A$7,Sheet2!$B$1:$B$7)</f>
        <v>6</v>
      </c>
      <c r="AA11" s="2"/>
      <c r="AB11" s="2" t="s">
        <v>120</v>
      </c>
      <c r="AC11">
        <f>_xlfn.XLOOKUP(AB11,Sheet2!$A$1:$A$7,Sheet2!$B$1:$B$7)</f>
        <v>6</v>
      </c>
      <c r="AD11" s="2"/>
      <c r="AE11" s="2" t="s">
        <v>116</v>
      </c>
      <c r="AF11">
        <f>_xlfn.XLOOKUP(AE11,Sheet2!$A$1:$A$7,Sheet2!$B$1:$B$7)</f>
        <v>5</v>
      </c>
      <c r="AG11" s="2"/>
      <c r="AI11" s="2"/>
      <c r="AJ11" s="2" t="s">
        <v>116</v>
      </c>
      <c r="AK11">
        <f>_xlfn.XLOOKUP(AJ11,Sheet2!$A$1:$A$7,Sheet2!$B$1:$B$7)</f>
        <v>5</v>
      </c>
      <c r="AL11" s="2"/>
      <c r="AM11" s="2" t="s">
        <v>120</v>
      </c>
      <c r="AN11">
        <f>_xlfn.XLOOKUP(AM11,Sheet2!$A$1:$A$7,Sheet2!$B$1:$B$7)</f>
        <v>6</v>
      </c>
      <c r="AO11" s="2"/>
      <c r="AP11" s="2" t="s">
        <v>120</v>
      </c>
      <c r="AQ11">
        <f>_xlfn.XLOOKUP(AP11,Sheet2!$A$1:$A$7,Sheet2!$B$1:$B$7)</f>
        <v>6</v>
      </c>
      <c r="AR11" s="2"/>
      <c r="AS11" s="2" t="s">
        <v>116</v>
      </c>
      <c r="AT11">
        <f>_xlfn.XLOOKUP(AS11,Sheet2!$A$1:$A$7,Sheet2!$B$1:$B$7)</f>
        <v>5</v>
      </c>
      <c r="AU11" s="2"/>
      <c r="AV11" s="2" t="s">
        <v>122</v>
      </c>
      <c r="AW11">
        <f>_xlfn.XLOOKUP(AV11,Sheet2!$A$1:$A$7,Sheet2!$B$1:$B$7)</f>
        <v>7</v>
      </c>
      <c r="AX11" s="2"/>
      <c r="AY11" s="2" t="s">
        <v>122</v>
      </c>
      <c r="AZ11">
        <f>_xlfn.XLOOKUP(AY11,Sheet2!$A$1:$A$7,Sheet2!$B$1:$B$7)</f>
        <v>7</v>
      </c>
      <c r="BA11" s="2"/>
      <c r="BB11" s="2" t="s">
        <v>120</v>
      </c>
      <c r="BC11">
        <f>_xlfn.XLOOKUP(BB11,Sheet2!$A$1:$A$7,Sheet2!$B$1:$B$7)</f>
        <v>6</v>
      </c>
      <c r="BD11" s="2"/>
      <c r="BE11" s="2" t="s">
        <v>119</v>
      </c>
      <c r="BF11">
        <f>_xlfn.XLOOKUP(BE11,Sheet2!$A$1:$A$7,Sheet2!$B$1:$B$7)</f>
        <v>2</v>
      </c>
      <c r="BG11" s="2"/>
      <c r="BH11" s="2" t="s">
        <v>118</v>
      </c>
      <c r="BI11">
        <f>_xlfn.XLOOKUP(BH11,Sheet2!$A$1:$A$7,Sheet2!$B$1:$B$7)</f>
        <v>4</v>
      </c>
      <c r="BJ11" s="2"/>
      <c r="BK11" s="2" t="s">
        <v>118</v>
      </c>
      <c r="BL11">
        <f>_xlfn.XLOOKUP(BK11,Sheet2!$A$1:$A$7,Sheet2!$B$1:$B$7)</f>
        <v>4</v>
      </c>
      <c r="BM11" s="2"/>
      <c r="BN11" s="2" t="s">
        <v>120</v>
      </c>
      <c r="BO11">
        <f>_xlfn.XLOOKUP(BN11,Sheet2!$A$1:$A$7,Sheet2!$B$1:$B$7)</f>
        <v>6</v>
      </c>
      <c r="BP11" s="2"/>
      <c r="BQ11" s="2" t="s">
        <v>116</v>
      </c>
      <c r="BR11">
        <f>_xlfn.XLOOKUP(BQ11,Sheet2!$A$1:$A$7,Sheet2!$B$1:$B$7)</f>
        <v>5</v>
      </c>
      <c r="BS11" s="2"/>
      <c r="BU11" s="2"/>
      <c r="BV11" s="2" t="s">
        <v>122</v>
      </c>
      <c r="BW11">
        <f>_xlfn.XLOOKUP(BV11,Sheet2!$A$1:$A$7,Sheet2!$B$1:$B$7)</f>
        <v>7</v>
      </c>
      <c r="BX11" s="2"/>
      <c r="BY11" s="2" t="s">
        <v>122</v>
      </c>
      <c r="BZ11">
        <f>_xlfn.XLOOKUP(BY11,Sheet2!$A$1:$A$7,Sheet2!$B$1:$B$7)</f>
        <v>7</v>
      </c>
      <c r="CA11" s="2"/>
      <c r="CC11" s="2"/>
      <c r="CD11" s="2" t="s">
        <v>116</v>
      </c>
      <c r="CE11">
        <f>_xlfn.XLOOKUP(CD11,Sheet2!$A$1:$A$7,Sheet2!$B$1:$B$7)</f>
        <v>5</v>
      </c>
      <c r="CF11" s="2"/>
      <c r="CG11" s="2" t="s">
        <v>116</v>
      </c>
      <c r="CH11">
        <f>_xlfn.XLOOKUP(CG11,Sheet2!$A$1:$A$7,Sheet2!$B$1:$B$7)</f>
        <v>5</v>
      </c>
      <c r="CI11" s="2"/>
      <c r="CJ11" s="2" t="s">
        <v>120</v>
      </c>
      <c r="CK11">
        <f>_xlfn.XLOOKUP(CJ11,Sheet2!$A$1:$A$7,Sheet2!$B$1:$B$7)</f>
        <v>6</v>
      </c>
      <c r="CL11" s="2"/>
      <c r="CM11" s="2" t="s">
        <v>119</v>
      </c>
      <c r="CN11">
        <f>_xlfn.XLOOKUP(CM11,Sheet2!$A$1:$A$7,Sheet2!$B$1:$B$7)</f>
        <v>2</v>
      </c>
      <c r="CO11" s="2"/>
      <c r="CQ11" s="2"/>
      <c r="CR11" s="2" t="s">
        <v>118</v>
      </c>
      <c r="CS11">
        <f>_xlfn.XLOOKUP(CR11,Sheet2!$A$1:$A$7,Sheet2!$B$1:$B$7)</f>
        <v>4</v>
      </c>
      <c r="CT11" s="2"/>
      <c r="CU11" s="2" t="s">
        <v>119</v>
      </c>
      <c r="CV11">
        <f>_xlfn.XLOOKUP(CU11,Sheet2!$A$1:$A$7,Sheet2!$B$1:$B$7)</f>
        <v>2</v>
      </c>
      <c r="CW11" s="2"/>
      <c r="CX11" s="2" t="s">
        <v>118</v>
      </c>
      <c r="CY11">
        <f>_xlfn.XLOOKUP(CX11,Sheet2!$A$1:$A$7,Sheet2!$B$1:$B$7)</f>
        <v>4</v>
      </c>
      <c r="CZ11" s="2"/>
      <c r="DA11" s="2" t="s">
        <v>119</v>
      </c>
      <c r="DB11">
        <f>_xlfn.XLOOKUP(DA11,Sheet2!$A$1:$A$7,Sheet2!$B$1:$B$7)</f>
        <v>2</v>
      </c>
      <c r="DC11" s="2"/>
      <c r="DE11" s="2"/>
      <c r="DF11" s="2" t="s">
        <v>116</v>
      </c>
      <c r="DG11">
        <f>_xlfn.XLOOKUP(DF11,Sheet2!$A$1:$A$7,Sheet2!$B$1:$B$7)</f>
        <v>5</v>
      </c>
      <c r="DH11" s="2"/>
      <c r="DI11" s="2" t="s">
        <v>116</v>
      </c>
      <c r="DJ11">
        <f>_xlfn.XLOOKUP(DI11,Sheet2!$A$1:$A$7,Sheet2!$B$1:$B$7)</f>
        <v>5</v>
      </c>
      <c r="DK11" s="2"/>
    </row>
    <row r="12" spans="1:115" x14ac:dyDescent="0.25">
      <c r="A12">
        <v>11</v>
      </c>
      <c r="B12" s="1">
        <v>46003.7801736111</v>
      </c>
      <c r="C12" s="1">
        <v>46003.791782407403</v>
      </c>
      <c r="D12" s="2" t="s">
        <v>132</v>
      </c>
      <c r="E12" s="2"/>
      <c r="G12" s="2"/>
      <c r="H12" s="1"/>
      <c r="J12" s="2"/>
      <c r="K12" s="2" t="s">
        <v>118</v>
      </c>
      <c r="L12">
        <f>_xlfn.XLOOKUP(K12,Sheet2!$A$1:$A$7,Sheet2!$B$1:$B$7)</f>
        <v>4</v>
      </c>
      <c r="M12" s="2"/>
      <c r="N12" s="2" t="s">
        <v>118</v>
      </c>
      <c r="O12">
        <f>_xlfn.XLOOKUP(N12,Sheet2!$A$1:$A$7,Sheet2!$B$1:$B$7)</f>
        <v>4</v>
      </c>
      <c r="P12" s="2"/>
      <c r="Q12" s="2" t="s">
        <v>121</v>
      </c>
      <c r="R12">
        <f>_xlfn.XLOOKUP(Q12,Sheet2!$A$1:$A$7,Sheet2!$B$1:$B$7)</f>
        <v>3</v>
      </c>
      <c r="S12" s="2"/>
      <c r="T12" s="2" t="s">
        <v>116</v>
      </c>
      <c r="U12">
        <f>_xlfn.XLOOKUP(T12,Sheet2!$A$1:$A$7,Sheet2!$B$1:$B$7)</f>
        <v>5</v>
      </c>
      <c r="V12" s="2"/>
      <c r="X12" s="2"/>
      <c r="Y12" s="2" t="s">
        <v>120</v>
      </c>
      <c r="Z12">
        <f>_xlfn.XLOOKUP(Y12,Sheet2!$A$1:$A$7,Sheet2!$B$1:$B$7)</f>
        <v>6</v>
      </c>
      <c r="AA12" s="2"/>
      <c r="AB12" s="2" t="s">
        <v>122</v>
      </c>
      <c r="AC12">
        <f>_xlfn.XLOOKUP(AB12,Sheet2!$A$1:$A$7,Sheet2!$B$1:$B$7)</f>
        <v>7</v>
      </c>
      <c r="AD12" s="2"/>
      <c r="AE12" s="2" t="s">
        <v>122</v>
      </c>
      <c r="AF12">
        <f>_xlfn.XLOOKUP(AE12,Sheet2!$A$1:$A$7,Sheet2!$B$1:$B$7)</f>
        <v>7</v>
      </c>
      <c r="AG12" s="2"/>
      <c r="AI12" s="2"/>
      <c r="AJ12" s="2" t="s">
        <v>120</v>
      </c>
      <c r="AK12">
        <f>_xlfn.XLOOKUP(AJ12,Sheet2!$A$1:$A$7,Sheet2!$B$1:$B$7)</f>
        <v>6</v>
      </c>
      <c r="AL12" s="2"/>
      <c r="AM12" s="2" t="s">
        <v>121</v>
      </c>
      <c r="AN12">
        <f>_xlfn.XLOOKUP(AM12,Sheet2!$A$1:$A$7,Sheet2!$B$1:$B$7)</f>
        <v>3</v>
      </c>
      <c r="AO12" s="2"/>
      <c r="AP12" s="2" t="s">
        <v>119</v>
      </c>
      <c r="AQ12">
        <f>_xlfn.XLOOKUP(AP12,Sheet2!$A$1:$A$7,Sheet2!$B$1:$B$7)</f>
        <v>2</v>
      </c>
      <c r="AR12" s="2"/>
      <c r="AS12" s="2" t="s">
        <v>118</v>
      </c>
      <c r="AT12">
        <f>_xlfn.XLOOKUP(AS12,Sheet2!$A$1:$A$7,Sheet2!$B$1:$B$7)</f>
        <v>4</v>
      </c>
      <c r="AU12" s="2"/>
      <c r="AV12" s="2" t="s">
        <v>116</v>
      </c>
      <c r="AW12">
        <f>_xlfn.XLOOKUP(AV12,Sheet2!$A$1:$A$7,Sheet2!$B$1:$B$7)</f>
        <v>5</v>
      </c>
      <c r="AX12" s="2"/>
      <c r="AY12" s="2" t="s">
        <v>122</v>
      </c>
      <c r="AZ12">
        <f>_xlfn.XLOOKUP(AY12,Sheet2!$A$1:$A$7,Sheet2!$B$1:$B$7)</f>
        <v>7</v>
      </c>
      <c r="BA12" s="2"/>
      <c r="BB12" s="2" t="s">
        <v>121</v>
      </c>
      <c r="BC12">
        <f>_xlfn.XLOOKUP(BB12,Sheet2!$A$1:$A$7,Sheet2!$B$1:$B$7)</f>
        <v>3</v>
      </c>
      <c r="BD12" s="2"/>
      <c r="BE12" s="2" t="s">
        <v>116</v>
      </c>
      <c r="BF12">
        <f>_xlfn.XLOOKUP(BE12,Sheet2!$A$1:$A$7,Sheet2!$B$1:$B$7)</f>
        <v>5</v>
      </c>
      <c r="BG12" s="2"/>
      <c r="BH12" s="2" t="s">
        <v>121</v>
      </c>
      <c r="BI12">
        <f>_xlfn.XLOOKUP(BH12,Sheet2!$A$1:$A$7,Sheet2!$B$1:$B$7)</f>
        <v>3</v>
      </c>
      <c r="BJ12" s="2"/>
      <c r="BK12" s="2" t="s">
        <v>116</v>
      </c>
      <c r="BL12">
        <f>_xlfn.XLOOKUP(BK12,Sheet2!$A$1:$A$7,Sheet2!$B$1:$B$7)</f>
        <v>5</v>
      </c>
      <c r="BM12" s="2"/>
      <c r="BN12" s="2" t="s">
        <v>122</v>
      </c>
      <c r="BO12">
        <f>_xlfn.XLOOKUP(BN12,Sheet2!$A$1:$A$7,Sheet2!$B$1:$B$7)</f>
        <v>7</v>
      </c>
      <c r="BP12" s="2"/>
      <c r="BQ12" s="2" t="s">
        <v>122</v>
      </c>
      <c r="BR12">
        <f>_xlfn.XLOOKUP(BQ12,Sheet2!$A$1:$A$7,Sheet2!$B$1:$B$7)</f>
        <v>7</v>
      </c>
      <c r="BS12" s="2"/>
      <c r="BU12" s="2"/>
      <c r="BV12" s="2" t="s">
        <v>122</v>
      </c>
      <c r="BW12">
        <f>_xlfn.XLOOKUP(BV12,Sheet2!$A$1:$A$7,Sheet2!$B$1:$B$7)</f>
        <v>7</v>
      </c>
      <c r="BX12" s="2"/>
      <c r="BY12" s="2" t="s">
        <v>122</v>
      </c>
      <c r="BZ12">
        <f>_xlfn.XLOOKUP(BY12,Sheet2!$A$1:$A$7,Sheet2!$B$1:$B$7)</f>
        <v>7</v>
      </c>
      <c r="CA12" s="2"/>
      <c r="CC12" s="2"/>
      <c r="CD12" s="2" t="s">
        <v>122</v>
      </c>
      <c r="CE12">
        <f>_xlfn.XLOOKUP(CD12,Sheet2!$A$1:$A$7,Sheet2!$B$1:$B$7)</f>
        <v>7</v>
      </c>
      <c r="CF12" s="2"/>
      <c r="CG12" s="2" t="s">
        <v>120</v>
      </c>
      <c r="CH12">
        <f>_xlfn.XLOOKUP(CG12,Sheet2!$A$1:$A$7,Sheet2!$B$1:$B$7)</f>
        <v>6</v>
      </c>
      <c r="CI12" s="2"/>
      <c r="CJ12" s="2" t="s">
        <v>122</v>
      </c>
      <c r="CK12">
        <f>_xlfn.XLOOKUP(CJ12,Sheet2!$A$1:$A$7,Sheet2!$B$1:$B$7)</f>
        <v>7</v>
      </c>
      <c r="CL12" s="2"/>
      <c r="CM12" s="2" t="s">
        <v>116</v>
      </c>
      <c r="CN12">
        <f>_xlfn.XLOOKUP(CM12,Sheet2!$A$1:$A$7,Sheet2!$B$1:$B$7)</f>
        <v>5</v>
      </c>
      <c r="CO12" s="2"/>
      <c r="CQ12" s="2"/>
      <c r="CR12" s="2" t="s">
        <v>118</v>
      </c>
      <c r="CS12">
        <f>_xlfn.XLOOKUP(CR12,Sheet2!$A$1:$A$7,Sheet2!$B$1:$B$7)</f>
        <v>4</v>
      </c>
      <c r="CT12" s="2"/>
      <c r="CU12" s="2" t="s">
        <v>116</v>
      </c>
      <c r="CV12">
        <f>_xlfn.XLOOKUP(CU12,Sheet2!$A$1:$A$7,Sheet2!$B$1:$B$7)</f>
        <v>5</v>
      </c>
      <c r="CW12" s="2"/>
      <c r="CX12" s="2" t="s">
        <v>118</v>
      </c>
      <c r="CY12">
        <f>_xlfn.XLOOKUP(CX12,Sheet2!$A$1:$A$7,Sheet2!$B$1:$B$7)</f>
        <v>4</v>
      </c>
      <c r="CZ12" s="2"/>
      <c r="DA12" s="2" t="s">
        <v>118</v>
      </c>
      <c r="DB12">
        <f>_xlfn.XLOOKUP(DA12,Sheet2!$A$1:$A$7,Sheet2!$B$1:$B$7)</f>
        <v>4</v>
      </c>
      <c r="DC12" s="2"/>
      <c r="DE12" s="2"/>
      <c r="DF12" s="2" t="s">
        <v>116</v>
      </c>
      <c r="DG12">
        <f>_xlfn.XLOOKUP(DF12,Sheet2!$A$1:$A$7,Sheet2!$B$1:$B$7)</f>
        <v>5</v>
      </c>
      <c r="DH12" s="2"/>
      <c r="DI12" s="2" t="s">
        <v>116</v>
      </c>
      <c r="DJ12">
        <f>_xlfn.XLOOKUP(DI12,Sheet2!$A$1:$A$7,Sheet2!$B$1:$B$7)</f>
        <v>5</v>
      </c>
      <c r="DK12" s="2"/>
    </row>
    <row r="13" spans="1:115" x14ac:dyDescent="0.25">
      <c r="A13">
        <v>12</v>
      </c>
      <c r="B13" s="1">
        <v>46003.906620370399</v>
      </c>
      <c r="C13" s="1">
        <v>46003.930416666699</v>
      </c>
      <c r="D13" s="2" t="s">
        <v>133</v>
      </c>
      <c r="E13" s="2"/>
      <c r="G13" s="2"/>
      <c r="H13" s="1"/>
      <c r="J13" s="2"/>
      <c r="K13" s="2" t="s">
        <v>120</v>
      </c>
      <c r="L13">
        <f>_xlfn.XLOOKUP(K13,Sheet2!$A$1:$A$7,Sheet2!$B$1:$B$7)</f>
        <v>6</v>
      </c>
      <c r="M13" s="2"/>
      <c r="N13" s="2" t="s">
        <v>117</v>
      </c>
      <c r="O13">
        <f>_xlfn.XLOOKUP(N13,Sheet2!$A$1:$A$7,Sheet2!$B$1:$B$7)</f>
        <v>1</v>
      </c>
      <c r="P13" s="2"/>
      <c r="Q13" s="2" t="s">
        <v>116</v>
      </c>
      <c r="R13">
        <f>_xlfn.XLOOKUP(Q13,Sheet2!$A$1:$A$7,Sheet2!$B$1:$B$7)</f>
        <v>5</v>
      </c>
      <c r="S13" s="2"/>
      <c r="T13" s="2" t="s">
        <v>117</v>
      </c>
      <c r="U13">
        <f>_xlfn.XLOOKUP(T13,Sheet2!$A$1:$A$7,Sheet2!$B$1:$B$7)</f>
        <v>1</v>
      </c>
      <c r="V13" s="2"/>
      <c r="X13" s="2"/>
      <c r="Y13" s="2" t="s">
        <v>116</v>
      </c>
      <c r="Z13">
        <f>_xlfn.XLOOKUP(Y13,Sheet2!$A$1:$A$7,Sheet2!$B$1:$B$7)</f>
        <v>5</v>
      </c>
      <c r="AA13" s="2"/>
      <c r="AB13" s="2" t="s">
        <v>118</v>
      </c>
      <c r="AC13">
        <f>_xlfn.XLOOKUP(AB13,Sheet2!$A$1:$A$7,Sheet2!$B$1:$B$7)</f>
        <v>4</v>
      </c>
      <c r="AD13" s="2"/>
      <c r="AE13" s="2" t="s">
        <v>116</v>
      </c>
      <c r="AF13">
        <f>_xlfn.XLOOKUP(AE13,Sheet2!$A$1:$A$7,Sheet2!$B$1:$B$7)</f>
        <v>5</v>
      </c>
      <c r="AG13" s="2"/>
      <c r="AI13" s="2"/>
      <c r="AJ13" s="2" t="s">
        <v>119</v>
      </c>
      <c r="AK13">
        <f>_xlfn.XLOOKUP(AJ13,Sheet2!$A$1:$A$7,Sheet2!$B$1:$B$7)</f>
        <v>2</v>
      </c>
      <c r="AL13" s="2"/>
      <c r="AM13" s="2" t="s">
        <v>116</v>
      </c>
      <c r="AN13">
        <f>_xlfn.XLOOKUP(AM13,Sheet2!$A$1:$A$7,Sheet2!$B$1:$B$7)</f>
        <v>5</v>
      </c>
      <c r="AO13" s="2"/>
      <c r="AP13" s="2" t="s">
        <v>121</v>
      </c>
      <c r="AQ13">
        <f>_xlfn.XLOOKUP(AP13,Sheet2!$A$1:$A$7,Sheet2!$B$1:$B$7)</f>
        <v>3</v>
      </c>
      <c r="AR13" s="2"/>
      <c r="AS13" s="2" t="s">
        <v>120</v>
      </c>
      <c r="AT13">
        <f>_xlfn.XLOOKUP(AS13,Sheet2!$A$1:$A$7,Sheet2!$B$1:$B$7)</f>
        <v>6</v>
      </c>
      <c r="AU13" s="2"/>
      <c r="AV13" s="2" t="s">
        <v>120</v>
      </c>
      <c r="AW13">
        <f>_xlfn.XLOOKUP(AV13,Sheet2!$A$1:$A$7,Sheet2!$B$1:$B$7)</f>
        <v>6</v>
      </c>
      <c r="AX13" s="2"/>
      <c r="AY13" s="2" t="s">
        <v>120</v>
      </c>
      <c r="AZ13">
        <f>_xlfn.XLOOKUP(AY13,Sheet2!$A$1:$A$7,Sheet2!$B$1:$B$7)</f>
        <v>6</v>
      </c>
      <c r="BA13" s="2"/>
      <c r="BB13" s="2" t="s">
        <v>120</v>
      </c>
      <c r="BC13">
        <f>_xlfn.XLOOKUP(BB13,Sheet2!$A$1:$A$7,Sheet2!$B$1:$B$7)</f>
        <v>6</v>
      </c>
      <c r="BD13" s="2"/>
      <c r="BE13" s="2" t="s">
        <v>119</v>
      </c>
      <c r="BF13">
        <f>_xlfn.XLOOKUP(BE13,Sheet2!$A$1:$A$7,Sheet2!$B$1:$B$7)</f>
        <v>2</v>
      </c>
      <c r="BG13" s="2"/>
      <c r="BH13" s="2" t="s">
        <v>117</v>
      </c>
      <c r="BI13">
        <f>_xlfn.XLOOKUP(BH13,Sheet2!$A$1:$A$7,Sheet2!$B$1:$B$7)</f>
        <v>1</v>
      </c>
      <c r="BJ13" s="2"/>
      <c r="BK13" s="2" t="s">
        <v>117</v>
      </c>
      <c r="BL13">
        <f>_xlfn.XLOOKUP(BK13,Sheet2!$A$1:$A$7,Sheet2!$B$1:$B$7)</f>
        <v>1</v>
      </c>
      <c r="BM13" s="2"/>
      <c r="BN13" s="2" t="s">
        <v>120</v>
      </c>
      <c r="BO13">
        <f>_xlfn.XLOOKUP(BN13,Sheet2!$A$1:$A$7,Sheet2!$B$1:$B$7)</f>
        <v>6</v>
      </c>
      <c r="BP13" s="2"/>
      <c r="BQ13" s="2" t="s">
        <v>120</v>
      </c>
      <c r="BR13">
        <f>_xlfn.XLOOKUP(BQ13,Sheet2!$A$1:$A$7,Sheet2!$B$1:$B$7)</f>
        <v>6</v>
      </c>
      <c r="BS13" s="2"/>
      <c r="BU13" s="2"/>
      <c r="BV13" s="2" t="s">
        <v>122</v>
      </c>
      <c r="BW13">
        <f>_xlfn.XLOOKUP(BV13,Sheet2!$A$1:$A$7,Sheet2!$B$1:$B$7)</f>
        <v>7</v>
      </c>
      <c r="BX13" s="2"/>
      <c r="BY13" s="2" t="s">
        <v>120</v>
      </c>
      <c r="BZ13">
        <f>_xlfn.XLOOKUP(BY13,Sheet2!$A$1:$A$7,Sheet2!$B$1:$B$7)</f>
        <v>6</v>
      </c>
      <c r="CA13" s="2"/>
      <c r="CC13" s="2"/>
      <c r="CD13" s="2" t="s">
        <v>120</v>
      </c>
      <c r="CE13">
        <f>_xlfn.XLOOKUP(CD13,Sheet2!$A$1:$A$7,Sheet2!$B$1:$B$7)</f>
        <v>6</v>
      </c>
      <c r="CF13" s="2"/>
      <c r="CG13" s="2" t="s">
        <v>118</v>
      </c>
      <c r="CH13">
        <f>_xlfn.XLOOKUP(CG13,Sheet2!$A$1:$A$7,Sheet2!$B$1:$B$7)</f>
        <v>4</v>
      </c>
      <c r="CI13" s="2"/>
      <c r="CJ13" s="2" t="s">
        <v>122</v>
      </c>
      <c r="CK13">
        <f>_xlfn.XLOOKUP(CJ13,Sheet2!$A$1:$A$7,Sheet2!$B$1:$B$7)</f>
        <v>7</v>
      </c>
      <c r="CL13" s="2"/>
      <c r="CM13" s="2" t="s">
        <v>117</v>
      </c>
      <c r="CN13">
        <f>_xlfn.XLOOKUP(CM13,Sheet2!$A$1:$A$7,Sheet2!$B$1:$B$7)</f>
        <v>1</v>
      </c>
      <c r="CO13" s="2"/>
      <c r="CQ13" s="2"/>
      <c r="CR13" s="2" t="s">
        <v>118</v>
      </c>
      <c r="CS13">
        <f>_xlfn.XLOOKUP(CR13,Sheet2!$A$1:$A$7,Sheet2!$B$1:$B$7)</f>
        <v>4</v>
      </c>
      <c r="CT13" s="2"/>
      <c r="CU13" s="2" t="s">
        <v>117</v>
      </c>
      <c r="CV13">
        <f>_xlfn.XLOOKUP(CU13,Sheet2!$A$1:$A$7,Sheet2!$B$1:$B$7)</f>
        <v>1</v>
      </c>
      <c r="CW13" s="2"/>
      <c r="CX13" s="2" t="s">
        <v>118</v>
      </c>
      <c r="CY13">
        <f>_xlfn.XLOOKUP(CX13,Sheet2!$A$1:$A$7,Sheet2!$B$1:$B$7)</f>
        <v>4</v>
      </c>
      <c r="CZ13" s="2"/>
      <c r="DA13" s="2" t="s">
        <v>118</v>
      </c>
      <c r="DB13">
        <f>_xlfn.XLOOKUP(DA13,Sheet2!$A$1:$A$7,Sheet2!$B$1:$B$7)</f>
        <v>4</v>
      </c>
      <c r="DC13" s="2"/>
      <c r="DE13" s="2"/>
      <c r="DF13" s="2" t="s">
        <v>120</v>
      </c>
      <c r="DG13">
        <f>_xlfn.XLOOKUP(DF13,Sheet2!$A$1:$A$7,Sheet2!$B$1:$B$7)</f>
        <v>6</v>
      </c>
      <c r="DH13" s="2"/>
      <c r="DI13" s="2" t="s">
        <v>120</v>
      </c>
      <c r="DJ13">
        <f>_xlfn.XLOOKUP(DI13,Sheet2!$A$1:$A$7,Sheet2!$B$1:$B$7)</f>
        <v>6</v>
      </c>
      <c r="DK13" s="2"/>
    </row>
    <row r="14" spans="1:115" x14ac:dyDescent="0.25">
      <c r="A14">
        <v>13</v>
      </c>
      <c r="B14" s="1">
        <v>46003.947777777801</v>
      </c>
      <c r="C14" s="1">
        <v>46003.954224537003</v>
      </c>
      <c r="D14" s="2" t="s">
        <v>134</v>
      </c>
      <c r="E14" s="2"/>
      <c r="G14" s="2"/>
      <c r="H14" s="1"/>
      <c r="J14" s="2"/>
      <c r="K14" s="2" t="s">
        <v>118</v>
      </c>
      <c r="L14">
        <f>_xlfn.XLOOKUP(K14,Sheet2!$A$1:$A$7,Sheet2!$B$1:$B$7)</f>
        <v>4</v>
      </c>
      <c r="M14" s="2"/>
      <c r="N14" s="2" t="s">
        <v>119</v>
      </c>
      <c r="O14">
        <f>_xlfn.XLOOKUP(N14,Sheet2!$A$1:$A$7,Sheet2!$B$1:$B$7)</f>
        <v>2</v>
      </c>
      <c r="P14" s="2"/>
      <c r="Q14" s="2" t="s">
        <v>118</v>
      </c>
      <c r="R14">
        <f>_xlfn.XLOOKUP(Q14,Sheet2!$A$1:$A$7,Sheet2!$B$1:$B$7)</f>
        <v>4</v>
      </c>
      <c r="S14" s="2"/>
      <c r="T14" s="2" t="s">
        <v>116</v>
      </c>
      <c r="U14">
        <f>_xlfn.XLOOKUP(T14,Sheet2!$A$1:$A$7,Sheet2!$B$1:$B$7)</f>
        <v>5</v>
      </c>
      <c r="V14" s="2"/>
      <c r="X14" s="2"/>
      <c r="Y14" s="2" t="s">
        <v>118</v>
      </c>
      <c r="Z14">
        <f>_xlfn.XLOOKUP(Y14,Sheet2!$A$1:$A$7,Sheet2!$B$1:$B$7)</f>
        <v>4</v>
      </c>
      <c r="AA14" s="2"/>
      <c r="AB14" s="2" t="s">
        <v>120</v>
      </c>
      <c r="AC14">
        <f>_xlfn.XLOOKUP(AB14,Sheet2!$A$1:$A$7,Sheet2!$B$1:$B$7)</f>
        <v>6</v>
      </c>
      <c r="AD14" s="2"/>
      <c r="AE14" s="2" t="s">
        <v>120</v>
      </c>
      <c r="AF14">
        <f>_xlfn.XLOOKUP(AE14,Sheet2!$A$1:$A$7,Sheet2!$B$1:$B$7)</f>
        <v>6</v>
      </c>
      <c r="AG14" s="2"/>
      <c r="AI14" s="2"/>
      <c r="AJ14" s="2" t="s">
        <v>120</v>
      </c>
      <c r="AK14">
        <f>_xlfn.XLOOKUP(AJ14,Sheet2!$A$1:$A$7,Sheet2!$B$1:$B$7)</f>
        <v>6</v>
      </c>
      <c r="AL14" s="2"/>
      <c r="AM14" s="2" t="s">
        <v>122</v>
      </c>
      <c r="AN14">
        <f>_xlfn.XLOOKUP(AM14,Sheet2!$A$1:$A$7,Sheet2!$B$1:$B$7)</f>
        <v>7</v>
      </c>
      <c r="AO14" s="2"/>
      <c r="AP14" s="2" t="s">
        <v>116</v>
      </c>
      <c r="AQ14">
        <f>_xlfn.XLOOKUP(AP14,Sheet2!$A$1:$A$7,Sheet2!$B$1:$B$7)</f>
        <v>5</v>
      </c>
      <c r="AR14" s="2"/>
      <c r="AS14" s="2" t="s">
        <v>120</v>
      </c>
      <c r="AT14">
        <f>_xlfn.XLOOKUP(AS14,Sheet2!$A$1:$A$7,Sheet2!$B$1:$B$7)</f>
        <v>6</v>
      </c>
      <c r="AU14" s="2"/>
      <c r="AV14" s="2" t="s">
        <v>116</v>
      </c>
      <c r="AW14">
        <f>_xlfn.XLOOKUP(AV14,Sheet2!$A$1:$A$7,Sheet2!$B$1:$B$7)</f>
        <v>5</v>
      </c>
      <c r="AX14" s="2"/>
      <c r="AY14" s="2" t="s">
        <v>122</v>
      </c>
      <c r="AZ14">
        <f>_xlfn.XLOOKUP(AY14,Sheet2!$A$1:$A$7,Sheet2!$B$1:$B$7)</f>
        <v>7</v>
      </c>
      <c r="BA14" s="2"/>
      <c r="BB14" s="2" t="s">
        <v>118</v>
      </c>
      <c r="BC14">
        <f>_xlfn.XLOOKUP(BB14,Sheet2!$A$1:$A$7,Sheet2!$B$1:$B$7)</f>
        <v>4</v>
      </c>
      <c r="BD14" s="2"/>
      <c r="BE14" s="2" t="s">
        <v>120</v>
      </c>
      <c r="BF14">
        <f>_xlfn.XLOOKUP(BE14,Sheet2!$A$1:$A$7,Sheet2!$B$1:$B$7)</f>
        <v>6</v>
      </c>
      <c r="BG14" s="2"/>
      <c r="BH14" s="2" t="s">
        <v>121</v>
      </c>
      <c r="BI14">
        <f>_xlfn.XLOOKUP(BH14,Sheet2!$A$1:$A$7,Sheet2!$B$1:$B$7)</f>
        <v>3</v>
      </c>
      <c r="BJ14" s="2"/>
      <c r="BK14" s="2" t="s">
        <v>120</v>
      </c>
      <c r="BL14">
        <f>_xlfn.XLOOKUP(BK14,Sheet2!$A$1:$A$7,Sheet2!$B$1:$B$7)</f>
        <v>6</v>
      </c>
      <c r="BM14" s="2"/>
      <c r="BN14" s="2" t="s">
        <v>116</v>
      </c>
      <c r="BO14">
        <f>_xlfn.XLOOKUP(BN14,Sheet2!$A$1:$A$7,Sheet2!$B$1:$B$7)</f>
        <v>5</v>
      </c>
      <c r="BP14" s="2"/>
      <c r="BQ14" s="2" t="s">
        <v>121</v>
      </c>
      <c r="BR14">
        <f>_xlfn.XLOOKUP(BQ14,Sheet2!$A$1:$A$7,Sheet2!$B$1:$B$7)</f>
        <v>3</v>
      </c>
      <c r="BS14" s="2"/>
      <c r="BU14" s="2"/>
      <c r="BV14" s="2" t="s">
        <v>120</v>
      </c>
      <c r="BW14">
        <f>_xlfn.XLOOKUP(BV14,Sheet2!$A$1:$A$7,Sheet2!$B$1:$B$7)</f>
        <v>6</v>
      </c>
      <c r="BX14" s="2"/>
      <c r="BY14" s="2" t="s">
        <v>120</v>
      </c>
      <c r="BZ14">
        <f>_xlfn.XLOOKUP(BY14,Sheet2!$A$1:$A$7,Sheet2!$B$1:$B$7)</f>
        <v>6</v>
      </c>
      <c r="CA14" s="2"/>
      <c r="CC14" s="2"/>
      <c r="CD14" s="2" t="s">
        <v>116</v>
      </c>
      <c r="CE14">
        <f>_xlfn.XLOOKUP(CD14,Sheet2!$A$1:$A$7,Sheet2!$B$1:$B$7)</f>
        <v>5</v>
      </c>
      <c r="CF14" s="2"/>
      <c r="CG14" s="2" t="s">
        <v>120</v>
      </c>
      <c r="CH14">
        <f>_xlfn.XLOOKUP(CG14,Sheet2!$A$1:$A$7,Sheet2!$B$1:$B$7)</f>
        <v>6</v>
      </c>
      <c r="CI14" s="2"/>
      <c r="CJ14" s="2" t="s">
        <v>121</v>
      </c>
      <c r="CK14">
        <f>_xlfn.XLOOKUP(CJ14,Sheet2!$A$1:$A$7,Sheet2!$B$1:$B$7)</f>
        <v>3</v>
      </c>
      <c r="CL14" s="2"/>
      <c r="CM14" s="2" t="s">
        <v>118</v>
      </c>
      <c r="CN14">
        <f>_xlfn.XLOOKUP(CM14,Sheet2!$A$1:$A$7,Sheet2!$B$1:$B$7)</f>
        <v>4</v>
      </c>
      <c r="CO14" s="2"/>
      <c r="CQ14" s="2"/>
      <c r="CR14" s="2" t="s">
        <v>118</v>
      </c>
      <c r="CS14">
        <f>_xlfn.XLOOKUP(CR14,Sheet2!$A$1:$A$7,Sheet2!$B$1:$B$7)</f>
        <v>4</v>
      </c>
      <c r="CT14" s="2"/>
      <c r="CU14" s="2" t="s">
        <v>121</v>
      </c>
      <c r="CV14">
        <f>_xlfn.XLOOKUP(CU14,Sheet2!$A$1:$A$7,Sheet2!$B$1:$B$7)</f>
        <v>3</v>
      </c>
      <c r="CW14" s="2"/>
      <c r="CX14" s="2" t="s">
        <v>118</v>
      </c>
      <c r="CY14">
        <f>_xlfn.XLOOKUP(CX14,Sheet2!$A$1:$A$7,Sheet2!$B$1:$B$7)</f>
        <v>4</v>
      </c>
      <c r="CZ14" s="2"/>
      <c r="DA14" s="2" t="s">
        <v>116</v>
      </c>
      <c r="DB14">
        <f>_xlfn.XLOOKUP(DA14,Sheet2!$A$1:$A$7,Sheet2!$B$1:$B$7)</f>
        <v>5</v>
      </c>
      <c r="DC14" s="2"/>
      <c r="DE14" s="2"/>
      <c r="DF14" s="2" t="s">
        <v>116</v>
      </c>
      <c r="DG14">
        <f>_xlfn.XLOOKUP(DF14,Sheet2!$A$1:$A$7,Sheet2!$B$1:$B$7)</f>
        <v>5</v>
      </c>
      <c r="DH14" s="2"/>
      <c r="DI14" s="2" t="s">
        <v>116</v>
      </c>
      <c r="DJ14">
        <f>_xlfn.XLOOKUP(DI14,Sheet2!$A$1:$A$7,Sheet2!$B$1:$B$7)</f>
        <v>5</v>
      </c>
      <c r="DK14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5DAC-C349-46C4-B394-6A0EA0836E00}">
  <dimension ref="A1:B7"/>
  <sheetViews>
    <sheetView workbookViewId="0"/>
  </sheetViews>
  <sheetFormatPr defaultRowHeight="15" x14ac:dyDescent="0.25"/>
  <sheetData>
    <row r="1" spans="1:2" x14ac:dyDescent="0.25">
      <c r="A1" t="s">
        <v>122</v>
      </c>
      <c r="B1">
        <v>7</v>
      </c>
    </row>
    <row r="2" spans="1:2" x14ac:dyDescent="0.25">
      <c r="A2" t="s">
        <v>120</v>
      </c>
      <c r="B2">
        <v>6</v>
      </c>
    </row>
    <row r="3" spans="1:2" x14ac:dyDescent="0.25">
      <c r="A3" t="s">
        <v>116</v>
      </c>
      <c r="B3">
        <v>5</v>
      </c>
    </row>
    <row r="4" spans="1:2" x14ac:dyDescent="0.25">
      <c r="A4" t="s">
        <v>118</v>
      </c>
      <c r="B4">
        <v>4</v>
      </c>
    </row>
    <row r="5" spans="1:2" x14ac:dyDescent="0.25">
      <c r="A5" t="s">
        <v>121</v>
      </c>
      <c r="B5">
        <v>3</v>
      </c>
    </row>
    <row r="6" spans="1:2" x14ac:dyDescent="0.25">
      <c r="A6" t="s">
        <v>119</v>
      </c>
      <c r="B6">
        <v>2</v>
      </c>
    </row>
    <row r="7" spans="1:2" x14ac:dyDescent="0.25">
      <c r="A7" t="s">
        <v>117</v>
      </c>
      <c r="B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0099-DA44-4A2D-9511-FBEF3BEFCB60}">
  <dimension ref="A1:D32"/>
  <sheetViews>
    <sheetView tabSelected="1" workbookViewId="0"/>
  </sheetViews>
  <sheetFormatPr defaultRowHeight="15" x14ac:dyDescent="0.25"/>
  <cols>
    <col min="1" max="1" width="31.5703125" bestFit="1" customWidth="1"/>
    <col min="2" max="2" width="81.140625" bestFit="1" customWidth="1"/>
    <col min="3" max="3" width="12.5703125" bestFit="1" customWidth="1"/>
    <col min="4" max="4" width="14" bestFit="1" customWidth="1"/>
    <col min="5" max="5" width="81.140625" bestFit="1" customWidth="1"/>
    <col min="6" max="6" width="8.42578125" bestFit="1" customWidth="1"/>
    <col min="7" max="7" width="31.5703125" bestFit="1" customWidth="1"/>
    <col min="8" max="8" width="81.140625" bestFit="1" customWidth="1"/>
    <col min="9" max="9" width="8.42578125" bestFit="1" customWidth="1"/>
  </cols>
  <sheetData>
    <row r="1" spans="1:4" x14ac:dyDescent="0.25">
      <c r="A1" t="s">
        <v>169</v>
      </c>
      <c r="B1" t="s">
        <v>170</v>
      </c>
      <c r="C1" t="s">
        <v>171</v>
      </c>
      <c r="D1" t="s">
        <v>172</v>
      </c>
    </row>
    <row r="2" spans="1:4" x14ac:dyDescent="0.25">
      <c r="A2" t="s">
        <v>157</v>
      </c>
      <c r="B2" t="s">
        <v>158</v>
      </c>
      <c r="C2">
        <v>7</v>
      </c>
      <c r="D2">
        <v>6</v>
      </c>
    </row>
    <row r="3" spans="1:4" x14ac:dyDescent="0.25">
      <c r="A3" t="s">
        <v>157</v>
      </c>
      <c r="B3" t="s">
        <v>159</v>
      </c>
      <c r="C3">
        <v>5.5</v>
      </c>
      <c r="D3">
        <v>6</v>
      </c>
    </row>
    <row r="4" spans="1:4" x14ac:dyDescent="0.25">
      <c r="A4" t="s">
        <v>135</v>
      </c>
      <c r="B4" t="s">
        <v>136</v>
      </c>
      <c r="C4">
        <v>5.5</v>
      </c>
      <c r="D4">
        <v>6</v>
      </c>
    </row>
    <row r="5" spans="1:4" x14ac:dyDescent="0.25">
      <c r="A5" t="s">
        <v>135</v>
      </c>
      <c r="B5" t="s">
        <v>138</v>
      </c>
      <c r="C5">
        <v>5</v>
      </c>
      <c r="D5">
        <v>4</v>
      </c>
    </row>
    <row r="6" spans="1:4" x14ac:dyDescent="0.25">
      <c r="A6" t="s">
        <v>135</v>
      </c>
      <c r="B6" t="s">
        <v>139</v>
      </c>
      <c r="C6">
        <v>1.5</v>
      </c>
      <c r="D6">
        <v>2</v>
      </c>
    </row>
    <row r="7" spans="1:4" x14ac:dyDescent="0.25">
      <c r="A7" t="s">
        <v>135</v>
      </c>
      <c r="B7" t="s">
        <v>137</v>
      </c>
      <c r="C7">
        <v>1.5</v>
      </c>
      <c r="D7">
        <v>2</v>
      </c>
    </row>
    <row r="8" spans="1:4" x14ac:dyDescent="0.25">
      <c r="A8" t="s">
        <v>140</v>
      </c>
      <c r="B8" t="s">
        <v>142</v>
      </c>
      <c r="C8">
        <v>5</v>
      </c>
      <c r="D8">
        <v>6</v>
      </c>
    </row>
    <row r="9" spans="1:4" x14ac:dyDescent="0.25">
      <c r="A9" t="s">
        <v>140</v>
      </c>
      <c r="B9" t="s">
        <v>141</v>
      </c>
      <c r="C9">
        <v>4.5</v>
      </c>
      <c r="D9">
        <v>5</v>
      </c>
    </row>
    <row r="10" spans="1:4" x14ac:dyDescent="0.25">
      <c r="A10" t="s">
        <v>140</v>
      </c>
      <c r="B10" t="s">
        <v>143</v>
      </c>
      <c r="C10">
        <v>4</v>
      </c>
      <c r="D10">
        <v>6</v>
      </c>
    </row>
    <row r="11" spans="1:4" x14ac:dyDescent="0.25">
      <c r="A11" t="s">
        <v>160</v>
      </c>
      <c r="B11" t="s">
        <v>162</v>
      </c>
      <c r="C11">
        <v>5.5</v>
      </c>
      <c r="D11">
        <v>5</v>
      </c>
    </row>
    <row r="12" spans="1:4" x14ac:dyDescent="0.25">
      <c r="A12" t="s">
        <v>160</v>
      </c>
      <c r="B12" t="s">
        <v>161</v>
      </c>
      <c r="C12">
        <v>5.5</v>
      </c>
      <c r="D12">
        <v>5</v>
      </c>
    </row>
    <row r="13" spans="1:4" x14ac:dyDescent="0.25">
      <c r="A13" t="s">
        <v>160</v>
      </c>
      <c r="B13" t="s">
        <v>164</v>
      </c>
      <c r="C13">
        <v>1</v>
      </c>
      <c r="D13">
        <v>2</v>
      </c>
    </row>
    <row r="14" spans="1:4" x14ac:dyDescent="0.25">
      <c r="A14" t="s">
        <v>160</v>
      </c>
      <c r="B14" t="s">
        <v>163</v>
      </c>
      <c r="C14">
        <v>7</v>
      </c>
      <c r="D14">
        <v>6</v>
      </c>
    </row>
    <row r="15" spans="1:4" x14ac:dyDescent="0.25">
      <c r="A15" t="s">
        <v>166</v>
      </c>
      <c r="B15" t="s">
        <v>167</v>
      </c>
      <c r="C15">
        <v>5</v>
      </c>
      <c r="D15">
        <v>5</v>
      </c>
    </row>
    <row r="16" spans="1:4" x14ac:dyDescent="0.25">
      <c r="A16" t="s">
        <v>166</v>
      </c>
      <c r="B16" t="s">
        <v>168</v>
      </c>
      <c r="C16">
        <v>4</v>
      </c>
      <c r="D16">
        <v>5</v>
      </c>
    </row>
    <row r="17" spans="1:4" x14ac:dyDescent="0.25">
      <c r="A17" t="s">
        <v>165</v>
      </c>
      <c r="B17" t="s">
        <v>136</v>
      </c>
      <c r="C17">
        <v>4</v>
      </c>
      <c r="D17">
        <v>4</v>
      </c>
    </row>
    <row r="18" spans="1:4" x14ac:dyDescent="0.25">
      <c r="A18" t="s">
        <v>165</v>
      </c>
      <c r="B18" t="s">
        <v>138</v>
      </c>
      <c r="C18">
        <v>3.5</v>
      </c>
      <c r="D18">
        <v>4</v>
      </c>
    </row>
    <row r="19" spans="1:4" x14ac:dyDescent="0.25">
      <c r="A19" t="s">
        <v>165</v>
      </c>
      <c r="B19" t="s">
        <v>139</v>
      </c>
      <c r="C19">
        <v>3.5</v>
      </c>
      <c r="D19">
        <v>5</v>
      </c>
    </row>
    <row r="20" spans="1:4" x14ac:dyDescent="0.25">
      <c r="A20" t="s">
        <v>165</v>
      </c>
      <c r="B20" t="s">
        <v>137</v>
      </c>
      <c r="C20">
        <v>4.5</v>
      </c>
      <c r="D20">
        <v>3</v>
      </c>
    </row>
    <row r="21" spans="1:4" x14ac:dyDescent="0.25">
      <c r="A21" t="s">
        <v>144</v>
      </c>
      <c r="B21" t="s">
        <v>154</v>
      </c>
      <c r="C21">
        <v>5</v>
      </c>
      <c r="D21">
        <v>5</v>
      </c>
    </row>
    <row r="22" spans="1:4" x14ac:dyDescent="0.25">
      <c r="A22" t="s">
        <v>144</v>
      </c>
      <c r="B22" t="s">
        <v>151</v>
      </c>
      <c r="C22">
        <v>5</v>
      </c>
      <c r="D22">
        <v>6</v>
      </c>
    </row>
    <row r="23" spans="1:4" x14ac:dyDescent="0.25">
      <c r="A23" t="s">
        <v>144</v>
      </c>
      <c r="B23" t="s">
        <v>148</v>
      </c>
      <c r="C23">
        <v>5.5</v>
      </c>
      <c r="D23">
        <v>6</v>
      </c>
    </row>
    <row r="24" spans="1:4" x14ac:dyDescent="0.25">
      <c r="A24" t="s">
        <v>144</v>
      </c>
      <c r="B24" t="s">
        <v>152</v>
      </c>
      <c r="C24">
        <v>2.5</v>
      </c>
      <c r="D24">
        <v>4</v>
      </c>
    </row>
    <row r="25" spans="1:4" x14ac:dyDescent="0.25">
      <c r="A25" t="s">
        <v>144</v>
      </c>
      <c r="B25" t="s">
        <v>155</v>
      </c>
      <c r="C25">
        <v>6</v>
      </c>
      <c r="D25">
        <v>6</v>
      </c>
    </row>
    <row r="26" spans="1:4" x14ac:dyDescent="0.25">
      <c r="A26" t="s">
        <v>144</v>
      </c>
      <c r="B26" t="s">
        <v>150</v>
      </c>
      <c r="C26">
        <v>6</v>
      </c>
      <c r="D26">
        <v>6</v>
      </c>
    </row>
    <row r="27" spans="1:4" x14ac:dyDescent="0.25">
      <c r="A27" t="s">
        <v>144</v>
      </c>
      <c r="B27" t="s">
        <v>149</v>
      </c>
      <c r="C27">
        <v>6</v>
      </c>
      <c r="D27">
        <v>5</v>
      </c>
    </row>
    <row r="28" spans="1:4" x14ac:dyDescent="0.25">
      <c r="A28" t="s">
        <v>144</v>
      </c>
      <c r="B28" t="s">
        <v>153</v>
      </c>
      <c r="C28">
        <v>5</v>
      </c>
      <c r="D28">
        <v>4</v>
      </c>
    </row>
    <row r="29" spans="1:4" x14ac:dyDescent="0.25">
      <c r="A29" t="s">
        <v>144</v>
      </c>
      <c r="B29" t="s">
        <v>145</v>
      </c>
      <c r="C29">
        <v>6</v>
      </c>
      <c r="D29">
        <v>5</v>
      </c>
    </row>
    <row r="30" spans="1:4" x14ac:dyDescent="0.25">
      <c r="A30" t="s">
        <v>144</v>
      </c>
      <c r="B30" t="s">
        <v>147</v>
      </c>
      <c r="C30">
        <v>5</v>
      </c>
      <c r="D30">
        <v>5</v>
      </c>
    </row>
    <row r="31" spans="1:4" x14ac:dyDescent="0.25">
      <c r="A31" t="s">
        <v>144</v>
      </c>
      <c r="B31" t="s">
        <v>146</v>
      </c>
      <c r="C31">
        <v>5</v>
      </c>
      <c r="D31">
        <v>6</v>
      </c>
    </row>
    <row r="32" spans="1:4" x14ac:dyDescent="0.25">
      <c r="A32" t="s">
        <v>144</v>
      </c>
      <c r="B32" t="s">
        <v>156</v>
      </c>
      <c r="C32">
        <v>4.5</v>
      </c>
      <c r="D32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069A-D582-4688-91B8-B7B3EF441AC0}">
  <dimension ref="A1:BN29"/>
  <sheetViews>
    <sheetView workbookViewId="0"/>
  </sheetViews>
  <sheetFormatPr defaultRowHeight="15" x14ac:dyDescent="0.25"/>
  <cols>
    <col min="1" max="1" width="5.140625" bestFit="1" customWidth="1"/>
    <col min="2" max="2" width="16" bestFit="1" customWidth="1"/>
    <col min="3" max="3" width="18.5703125" bestFit="1" customWidth="1"/>
    <col min="4" max="4" width="16.140625" bestFit="1" customWidth="1"/>
    <col min="5" max="5" width="35.28515625" bestFit="1" customWidth="1"/>
    <col min="6" max="6" width="42.7109375" bestFit="1" customWidth="1"/>
    <col min="7" max="7" width="36.28515625" bestFit="1" customWidth="1"/>
    <col min="8" max="8" width="43.5703125" bestFit="1" customWidth="1"/>
    <col min="9" max="9" width="38" bestFit="1" customWidth="1"/>
    <col min="10" max="10" width="45.42578125" bestFit="1" customWidth="1"/>
    <col min="11" max="11" width="38.7109375" bestFit="1" customWidth="1"/>
    <col min="12" max="12" width="46.140625" bestFit="1" customWidth="1"/>
    <col min="13" max="16" width="81.140625" bestFit="1" customWidth="1"/>
    <col min="17" max="17" width="74.28515625" bestFit="1" customWidth="1"/>
    <col min="18" max="18" width="81.140625" bestFit="1" customWidth="1"/>
    <col min="19" max="19" width="78.28515625" bestFit="1" customWidth="1"/>
    <col min="20" max="42" width="81.140625" bestFit="1" customWidth="1"/>
    <col min="43" max="43" width="58.42578125" bestFit="1" customWidth="1"/>
    <col min="44" max="44" width="65.85546875" bestFit="1" customWidth="1"/>
    <col min="45" max="45" width="58.140625" bestFit="1" customWidth="1"/>
    <col min="46" max="46" width="65.5703125" bestFit="1" customWidth="1"/>
    <col min="47" max="52" width="81.140625" bestFit="1" customWidth="1"/>
    <col min="53" max="53" width="78.140625" bestFit="1" customWidth="1"/>
    <col min="54" max="54" width="81.140625" bestFit="1" customWidth="1"/>
    <col min="55" max="55" width="43.28515625" bestFit="1" customWidth="1"/>
    <col min="56" max="56" width="50.7109375" bestFit="1" customWidth="1"/>
    <col min="57" max="57" width="44.140625" bestFit="1" customWidth="1"/>
    <col min="58" max="58" width="51.5703125" bestFit="1" customWidth="1"/>
    <col min="59" max="59" width="46" bestFit="1" customWidth="1"/>
    <col min="60" max="60" width="53.42578125" bestFit="1" customWidth="1"/>
    <col min="61" max="61" width="46.7109375" bestFit="1" customWidth="1"/>
    <col min="62" max="62" width="54.140625" bestFit="1" customWidth="1"/>
    <col min="63" max="63" width="65.7109375" bestFit="1" customWidth="1"/>
    <col min="64" max="64" width="73" bestFit="1" customWidth="1"/>
    <col min="65" max="65" width="70.85546875" bestFit="1" customWidth="1"/>
    <col min="66" max="66" width="78.28515625" bestFit="1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  <c r="G1" t="s">
        <v>13</v>
      </c>
      <c r="H1" t="s">
        <v>14</v>
      </c>
      <c r="I1" t="s">
        <v>16</v>
      </c>
      <c r="J1" t="s">
        <v>17</v>
      </c>
      <c r="K1" t="s">
        <v>19</v>
      </c>
      <c r="L1" t="s">
        <v>20</v>
      </c>
      <c r="M1" t="s">
        <v>24</v>
      </c>
      <c r="N1" t="s">
        <v>25</v>
      </c>
      <c r="O1" t="s">
        <v>27</v>
      </c>
      <c r="P1" t="s">
        <v>28</v>
      </c>
      <c r="Q1" t="s">
        <v>30</v>
      </c>
      <c r="R1" t="s">
        <v>31</v>
      </c>
      <c r="S1" t="s">
        <v>35</v>
      </c>
      <c r="T1" t="s">
        <v>36</v>
      </c>
      <c r="U1" t="s">
        <v>38</v>
      </c>
      <c r="V1" t="s">
        <v>39</v>
      </c>
      <c r="W1" t="s">
        <v>41</v>
      </c>
      <c r="X1" t="s">
        <v>42</v>
      </c>
      <c r="Y1" t="s">
        <v>44</v>
      </c>
      <c r="Z1" t="s">
        <v>45</v>
      </c>
      <c r="AA1" t="s">
        <v>47</v>
      </c>
      <c r="AB1" t="s">
        <v>48</v>
      </c>
      <c r="AC1" t="s">
        <v>50</v>
      </c>
      <c r="AD1" t="s">
        <v>51</v>
      </c>
      <c r="AE1" t="s">
        <v>53</v>
      </c>
      <c r="AF1" t="s">
        <v>54</v>
      </c>
      <c r="AG1" t="s">
        <v>56</v>
      </c>
      <c r="AH1" t="s">
        <v>57</v>
      </c>
      <c r="AI1" t="s">
        <v>59</v>
      </c>
      <c r="AJ1" t="s">
        <v>60</v>
      </c>
      <c r="AK1" t="s">
        <v>62</v>
      </c>
      <c r="AL1" t="s">
        <v>63</v>
      </c>
      <c r="AM1" t="s">
        <v>65</v>
      </c>
      <c r="AN1" t="s">
        <v>66</v>
      </c>
      <c r="AO1" t="s">
        <v>68</v>
      </c>
      <c r="AP1" t="s">
        <v>69</v>
      </c>
      <c r="AQ1" t="s">
        <v>73</v>
      </c>
      <c r="AR1" t="s">
        <v>74</v>
      </c>
      <c r="AS1" t="s">
        <v>76</v>
      </c>
      <c r="AT1" t="s">
        <v>77</v>
      </c>
      <c r="AU1" t="s">
        <v>81</v>
      </c>
      <c r="AV1" t="s">
        <v>82</v>
      </c>
      <c r="AW1" t="s">
        <v>84</v>
      </c>
      <c r="AX1" t="s">
        <v>85</v>
      </c>
      <c r="AY1" t="s">
        <v>87</v>
      </c>
      <c r="AZ1" t="s">
        <v>88</v>
      </c>
      <c r="BA1" t="s">
        <v>90</v>
      </c>
      <c r="BB1" t="s">
        <v>91</v>
      </c>
      <c r="BC1" t="s">
        <v>95</v>
      </c>
      <c r="BD1" t="s">
        <v>96</v>
      </c>
      <c r="BE1" t="s">
        <v>98</v>
      </c>
      <c r="BF1" t="s">
        <v>99</v>
      </c>
      <c r="BG1" t="s">
        <v>101</v>
      </c>
      <c r="BH1" t="s">
        <v>102</v>
      </c>
      <c r="BI1" t="s">
        <v>104</v>
      </c>
      <c r="BJ1" t="s">
        <v>105</v>
      </c>
      <c r="BK1" t="s">
        <v>109</v>
      </c>
      <c r="BL1" t="s">
        <v>110</v>
      </c>
      <c r="BM1" t="s">
        <v>112</v>
      </c>
      <c r="BN1" t="s">
        <v>113</v>
      </c>
    </row>
    <row r="2" spans="1:66" x14ac:dyDescent="0.25">
      <c r="A2">
        <v>1</v>
      </c>
      <c r="B2" s="1">
        <v>46001.814814814818</v>
      </c>
      <c r="C2" s="1">
        <v>46001.845567129632</v>
      </c>
      <c r="D2" t="s">
        <v>115</v>
      </c>
      <c r="E2" t="s">
        <v>116</v>
      </c>
      <c r="F2">
        <v>5</v>
      </c>
      <c r="G2" t="s">
        <v>117</v>
      </c>
      <c r="H2">
        <v>1</v>
      </c>
      <c r="I2" t="s">
        <v>118</v>
      </c>
      <c r="J2">
        <v>4</v>
      </c>
      <c r="K2" t="s">
        <v>117</v>
      </c>
      <c r="L2">
        <v>1</v>
      </c>
      <c r="M2" t="s">
        <v>119</v>
      </c>
      <c r="N2">
        <v>2</v>
      </c>
      <c r="O2" t="s">
        <v>120</v>
      </c>
      <c r="P2">
        <v>6</v>
      </c>
      <c r="Q2" t="s">
        <v>121</v>
      </c>
      <c r="R2">
        <v>3</v>
      </c>
      <c r="S2" t="s">
        <v>120</v>
      </c>
      <c r="T2">
        <v>6</v>
      </c>
      <c r="U2" t="s">
        <v>116</v>
      </c>
      <c r="V2">
        <v>5</v>
      </c>
      <c r="W2" t="s">
        <v>116</v>
      </c>
      <c r="X2">
        <v>5</v>
      </c>
      <c r="Y2" t="s">
        <v>118</v>
      </c>
      <c r="Z2">
        <v>4</v>
      </c>
      <c r="AA2" t="s">
        <v>122</v>
      </c>
      <c r="AB2">
        <v>7</v>
      </c>
      <c r="AC2" t="s">
        <v>118</v>
      </c>
      <c r="AD2">
        <v>4</v>
      </c>
      <c r="AE2" t="s">
        <v>118</v>
      </c>
      <c r="AF2">
        <v>4</v>
      </c>
      <c r="AG2" t="s">
        <v>120</v>
      </c>
      <c r="AH2">
        <v>6</v>
      </c>
      <c r="AI2" t="s">
        <v>122</v>
      </c>
      <c r="AJ2">
        <v>7</v>
      </c>
      <c r="AK2" t="s">
        <v>121</v>
      </c>
      <c r="AL2">
        <v>3</v>
      </c>
      <c r="AM2" t="s">
        <v>119</v>
      </c>
      <c r="AN2">
        <v>2</v>
      </c>
      <c r="AO2" t="s">
        <v>121</v>
      </c>
      <c r="AP2">
        <v>3</v>
      </c>
      <c r="AQ2" t="s">
        <v>116</v>
      </c>
      <c r="AR2">
        <v>5</v>
      </c>
      <c r="AS2" t="s">
        <v>121</v>
      </c>
      <c r="AT2">
        <v>3</v>
      </c>
      <c r="AU2" t="s">
        <v>121</v>
      </c>
      <c r="AV2">
        <v>3</v>
      </c>
      <c r="AW2" t="s">
        <v>120</v>
      </c>
      <c r="AX2">
        <v>6</v>
      </c>
      <c r="AY2" t="s">
        <v>116</v>
      </c>
      <c r="AZ2">
        <v>5</v>
      </c>
      <c r="BA2" t="s">
        <v>120</v>
      </c>
      <c r="BB2">
        <v>6</v>
      </c>
      <c r="BC2" t="s">
        <v>117</v>
      </c>
      <c r="BD2">
        <v>1</v>
      </c>
      <c r="BE2" t="s">
        <v>120</v>
      </c>
      <c r="BF2">
        <v>6</v>
      </c>
      <c r="BG2" t="s">
        <v>117</v>
      </c>
      <c r="BH2">
        <v>1</v>
      </c>
      <c r="BI2" t="s">
        <v>122</v>
      </c>
      <c r="BJ2">
        <v>7</v>
      </c>
      <c r="BK2" t="s">
        <v>120</v>
      </c>
      <c r="BL2">
        <v>6</v>
      </c>
      <c r="BM2" t="s">
        <v>122</v>
      </c>
      <c r="BN2">
        <v>7</v>
      </c>
    </row>
    <row r="3" spans="1:66" x14ac:dyDescent="0.25">
      <c r="A3">
        <v>2</v>
      </c>
      <c r="B3" s="1">
        <v>46001.840138888889</v>
      </c>
      <c r="C3" s="1">
        <v>46001.852696759262</v>
      </c>
      <c r="D3" t="s">
        <v>123</v>
      </c>
      <c r="E3" t="s">
        <v>120</v>
      </c>
      <c r="F3">
        <v>6</v>
      </c>
      <c r="G3" t="s">
        <v>117</v>
      </c>
      <c r="H3">
        <v>1</v>
      </c>
      <c r="I3" t="s">
        <v>120</v>
      </c>
      <c r="J3">
        <v>6</v>
      </c>
      <c r="K3" t="s">
        <v>119</v>
      </c>
      <c r="L3">
        <v>2</v>
      </c>
      <c r="M3" t="s">
        <v>118</v>
      </c>
      <c r="N3">
        <v>4</v>
      </c>
      <c r="O3" t="s">
        <v>120</v>
      </c>
      <c r="P3">
        <v>6</v>
      </c>
      <c r="Q3" t="s">
        <v>121</v>
      </c>
      <c r="R3">
        <v>3</v>
      </c>
      <c r="S3" t="s">
        <v>121</v>
      </c>
      <c r="T3">
        <v>3</v>
      </c>
      <c r="U3" t="s">
        <v>119</v>
      </c>
      <c r="V3">
        <v>2</v>
      </c>
      <c r="W3" t="s">
        <v>121</v>
      </c>
      <c r="X3">
        <v>3</v>
      </c>
      <c r="Y3" t="s">
        <v>120</v>
      </c>
      <c r="Z3">
        <v>6</v>
      </c>
      <c r="AA3" t="s">
        <v>118</v>
      </c>
      <c r="AB3">
        <v>4</v>
      </c>
      <c r="AC3" t="s">
        <v>120</v>
      </c>
      <c r="AD3">
        <v>6</v>
      </c>
      <c r="AE3" t="s">
        <v>118</v>
      </c>
      <c r="AF3">
        <v>4</v>
      </c>
      <c r="AG3" t="s">
        <v>119</v>
      </c>
      <c r="AH3">
        <v>2</v>
      </c>
      <c r="AI3" t="s">
        <v>121</v>
      </c>
      <c r="AJ3">
        <v>3</v>
      </c>
      <c r="AK3" t="s">
        <v>118</v>
      </c>
      <c r="AL3">
        <v>4</v>
      </c>
      <c r="AM3" t="s">
        <v>120</v>
      </c>
      <c r="AN3">
        <v>6</v>
      </c>
      <c r="AO3" t="s">
        <v>120</v>
      </c>
      <c r="AP3">
        <v>6</v>
      </c>
      <c r="AQ3" t="s">
        <v>120</v>
      </c>
      <c r="AR3">
        <v>6</v>
      </c>
      <c r="AS3" t="s">
        <v>120</v>
      </c>
      <c r="AT3">
        <v>6</v>
      </c>
      <c r="AU3" t="s">
        <v>121</v>
      </c>
      <c r="AV3">
        <v>3</v>
      </c>
      <c r="AW3" t="s">
        <v>121</v>
      </c>
      <c r="AX3">
        <v>3</v>
      </c>
      <c r="AY3" t="s">
        <v>120</v>
      </c>
      <c r="AZ3">
        <v>6</v>
      </c>
      <c r="BA3" t="s">
        <v>119</v>
      </c>
      <c r="BB3">
        <v>2</v>
      </c>
      <c r="BC3" t="s">
        <v>119</v>
      </c>
      <c r="BD3">
        <v>2</v>
      </c>
      <c r="BE3" t="s">
        <v>119</v>
      </c>
      <c r="BF3">
        <v>2</v>
      </c>
      <c r="BG3" t="s">
        <v>119</v>
      </c>
      <c r="BH3">
        <v>2</v>
      </c>
      <c r="BI3" t="s">
        <v>120</v>
      </c>
      <c r="BJ3">
        <v>6</v>
      </c>
      <c r="BK3" t="s">
        <v>117</v>
      </c>
      <c r="BL3">
        <v>1</v>
      </c>
      <c r="BM3" t="s">
        <v>116</v>
      </c>
      <c r="BN3">
        <v>5</v>
      </c>
    </row>
    <row r="4" spans="1:66" x14ac:dyDescent="0.25">
      <c r="A4">
        <v>3</v>
      </c>
      <c r="B4" s="1">
        <v>46002.42597222222</v>
      </c>
      <c r="C4" s="1">
        <v>46002.437291666669</v>
      </c>
      <c r="D4" t="s">
        <v>124</v>
      </c>
      <c r="E4" t="s">
        <v>120</v>
      </c>
      <c r="F4">
        <v>6</v>
      </c>
      <c r="G4" t="s">
        <v>119</v>
      </c>
      <c r="H4">
        <v>2</v>
      </c>
      <c r="I4" t="s">
        <v>120</v>
      </c>
      <c r="J4">
        <v>6</v>
      </c>
      <c r="K4" t="s">
        <v>119</v>
      </c>
      <c r="L4">
        <v>2</v>
      </c>
      <c r="M4" t="s">
        <v>118</v>
      </c>
      <c r="N4">
        <v>4</v>
      </c>
      <c r="O4" t="s">
        <v>118</v>
      </c>
      <c r="P4">
        <v>4</v>
      </c>
      <c r="Q4" t="s">
        <v>117</v>
      </c>
      <c r="R4">
        <v>1</v>
      </c>
      <c r="S4" t="s">
        <v>120</v>
      </c>
      <c r="T4">
        <v>6</v>
      </c>
      <c r="U4" t="s">
        <v>122</v>
      </c>
      <c r="V4">
        <v>7</v>
      </c>
      <c r="W4" t="s">
        <v>122</v>
      </c>
      <c r="X4">
        <v>7</v>
      </c>
      <c r="Y4" t="s">
        <v>120</v>
      </c>
      <c r="Z4">
        <v>6</v>
      </c>
      <c r="AA4" t="s">
        <v>122</v>
      </c>
      <c r="AB4">
        <v>7</v>
      </c>
      <c r="AC4" t="s">
        <v>122</v>
      </c>
      <c r="AD4">
        <v>7</v>
      </c>
      <c r="AE4" t="s">
        <v>120</v>
      </c>
      <c r="AF4">
        <v>6</v>
      </c>
      <c r="AG4" t="s">
        <v>119</v>
      </c>
      <c r="AH4">
        <v>2</v>
      </c>
      <c r="AI4" t="s">
        <v>120</v>
      </c>
      <c r="AJ4">
        <v>6</v>
      </c>
      <c r="AK4" t="s">
        <v>120</v>
      </c>
      <c r="AL4">
        <v>6</v>
      </c>
      <c r="AM4" t="s">
        <v>122</v>
      </c>
      <c r="AN4">
        <v>7</v>
      </c>
      <c r="AO4" t="s">
        <v>117</v>
      </c>
      <c r="AP4">
        <v>1</v>
      </c>
      <c r="AQ4" t="s">
        <v>122</v>
      </c>
      <c r="AR4">
        <v>7</v>
      </c>
      <c r="AS4" t="s">
        <v>122</v>
      </c>
      <c r="AT4">
        <v>7</v>
      </c>
      <c r="AU4" t="s">
        <v>118</v>
      </c>
      <c r="AV4">
        <v>4</v>
      </c>
      <c r="AW4" t="s">
        <v>118</v>
      </c>
      <c r="AX4">
        <v>4</v>
      </c>
      <c r="AY4" t="s">
        <v>122</v>
      </c>
      <c r="AZ4">
        <v>7</v>
      </c>
      <c r="BA4" t="s">
        <v>117</v>
      </c>
      <c r="BB4">
        <v>1</v>
      </c>
      <c r="BC4" t="s">
        <v>116</v>
      </c>
      <c r="BD4">
        <v>5</v>
      </c>
      <c r="BE4" t="s">
        <v>118</v>
      </c>
      <c r="BF4">
        <v>4</v>
      </c>
      <c r="BG4" t="s">
        <v>121</v>
      </c>
      <c r="BH4">
        <v>3</v>
      </c>
      <c r="BI4" t="s">
        <v>121</v>
      </c>
      <c r="BJ4">
        <v>3</v>
      </c>
      <c r="BK4" t="s">
        <v>117</v>
      </c>
      <c r="BL4">
        <v>1</v>
      </c>
      <c r="BM4" t="s">
        <v>121</v>
      </c>
      <c r="BN4">
        <v>3</v>
      </c>
    </row>
    <row r="5" spans="1:66" x14ac:dyDescent="0.25">
      <c r="A5">
        <v>4</v>
      </c>
      <c r="B5" s="1">
        <v>46002.455648148149</v>
      </c>
      <c r="C5" s="1">
        <v>46002.467488425929</v>
      </c>
      <c r="D5" t="s">
        <v>125</v>
      </c>
      <c r="E5" t="s">
        <v>120</v>
      </c>
      <c r="F5">
        <v>6</v>
      </c>
      <c r="G5" t="s">
        <v>119</v>
      </c>
      <c r="H5">
        <v>2</v>
      </c>
      <c r="I5" t="s">
        <v>118</v>
      </c>
      <c r="J5">
        <v>4</v>
      </c>
      <c r="K5" t="s">
        <v>119</v>
      </c>
      <c r="L5">
        <v>2</v>
      </c>
      <c r="M5" t="s">
        <v>116</v>
      </c>
      <c r="N5">
        <v>5</v>
      </c>
      <c r="O5" t="s">
        <v>121</v>
      </c>
      <c r="P5">
        <v>3</v>
      </c>
      <c r="Q5" t="s">
        <v>122</v>
      </c>
      <c r="R5">
        <v>7</v>
      </c>
      <c r="S5" t="s">
        <v>118</v>
      </c>
      <c r="T5">
        <v>4</v>
      </c>
      <c r="U5" t="s">
        <v>122</v>
      </c>
      <c r="V5">
        <v>7</v>
      </c>
      <c r="W5" t="s">
        <v>122</v>
      </c>
      <c r="X5">
        <v>7</v>
      </c>
      <c r="Y5" t="s">
        <v>122</v>
      </c>
      <c r="Z5">
        <v>7</v>
      </c>
      <c r="AA5" t="s">
        <v>122</v>
      </c>
      <c r="AB5">
        <v>7</v>
      </c>
      <c r="AC5" t="s">
        <v>120</v>
      </c>
      <c r="AD5">
        <v>6</v>
      </c>
      <c r="AE5" t="s">
        <v>122</v>
      </c>
      <c r="AF5">
        <v>7</v>
      </c>
      <c r="AG5" t="s">
        <v>122</v>
      </c>
      <c r="AH5">
        <v>7</v>
      </c>
      <c r="AI5" t="s">
        <v>122</v>
      </c>
      <c r="AJ5">
        <v>7</v>
      </c>
      <c r="AK5" t="s">
        <v>122</v>
      </c>
      <c r="AL5">
        <v>7</v>
      </c>
      <c r="AM5" t="s">
        <v>122</v>
      </c>
      <c r="AN5">
        <v>7</v>
      </c>
      <c r="AO5" t="s">
        <v>120</v>
      </c>
      <c r="AP5">
        <v>6</v>
      </c>
      <c r="AQ5" t="s">
        <v>122</v>
      </c>
      <c r="AR5">
        <v>7</v>
      </c>
      <c r="AS5" t="s">
        <v>122</v>
      </c>
      <c r="AT5">
        <v>7</v>
      </c>
      <c r="AU5" t="s">
        <v>116</v>
      </c>
      <c r="AV5">
        <v>5</v>
      </c>
      <c r="AW5" t="s">
        <v>122</v>
      </c>
      <c r="AX5">
        <v>7</v>
      </c>
      <c r="AY5" t="s">
        <v>116</v>
      </c>
      <c r="AZ5">
        <v>5</v>
      </c>
      <c r="BA5" t="s">
        <v>117</v>
      </c>
      <c r="BB5">
        <v>1</v>
      </c>
      <c r="BC5" t="s">
        <v>122</v>
      </c>
      <c r="BD5">
        <v>7</v>
      </c>
      <c r="BE5" t="s">
        <v>117</v>
      </c>
      <c r="BF5">
        <v>1</v>
      </c>
      <c r="BG5" t="s">
        <v>120</v>
      </c>
      <c r="BH5">
        <v>6</v>
      </c>
      <c r="BI5" t="s">
        <v>117</v>
      </c>
      <c r="BJ5">
        <v>1</v>
      </c>
      <c r="BK5" t="s">
        <v>117</v>
      </c>
      <c r="BL5">
        <v>1</v>
      </c>
      <c r="BM5" t="s">
        <v>117</v>
      </c>
      <c r="BN5">
        <v>1</v>
      </c>
    </row>
    <row r="6" spans="1:66" x14ac:dyDescent="0.25">
      <c r="A6">
        <v>5</v>
      </c>
      <c r="B6" s="1">
        <v>46002.509004629632</v>
      </c>
      <c r="C6" s="1">
        <v>46002.522094907406</v>
      </c>
      <c r="D6" t="s">
        <v>126</v>
      </c>
      <c r="E6" t="s">
        <v>116</v>
      </c>
      <c r="F6">
        <v>5</v>
      </c>
      <c r="G6" t="s">
        <v>119</v>
      </c>
      <c r="H6">
        <v>2</v>
      </c>
      <c r="I6" t="s">
        <v>116</v>
      </c>
      <c r="J6">
        <v>5</v>
      </c>
      <c r="K6" t="s">
        <v>119</v>
      </c>
      <c r="L6">
        <v>2</v>
      </c>
      <c r="M6" t="s">
        <v>119</v>
      </c>
      <c r="N6">
        <v>2</v>
      </c>
      <c r="O6" t="s">
        <v>121</v>
      </c>
      <c r="P6">
        <v>3</v>
      </c>
      <c r="Q6" t="s">
        <v>119</v>
      </c>
      <c r="R6">
        <v>2</v>
      </c>
      <c r="S6" t="s">
        <v>120</v>
      </c>
      <c r="T6">
        <v>6</v>
      </c>
      <c r="U6" t="s">
        <v>118</v>
      </c>
      <c r="V6">
        <v>4</v>
      </c>
      <c r="W6" t="s">
        <v>116</v>
      </c>
      <c r="X6">
        <v>5</v>
      </c>
      <c r="Y6" t="s">
        <v>116</v>
      </c>
      <c r="Z6">
        <v>5</v>
      </c>
      <c r="AA6" t="s">
        <v>116</v>
      </c>
      <c r="AB6">
        <v>5</v>
      </c>
      <c r="AC6" t="s">
        <v>120</v>
      </c>
      <c r="AD6">
        <v>6</v>
      </c>
      <c r="AE6" t="s">
        <v>120</v>
      </c>
      <c r="AF6">
        <v>6</v>
      </c>
      <c r="AG6" t="s">
        <v>121</v>
      </c>
      <c r="AH6">
        <v>3</v>
      </c>
      <c r="AI6" t="s">
        <v>116</v>
      </c>
      <c r="AJ6">
        <v>5</v>
      </c>
      <c r="AK6" t="s">
        <v>116</v>
      </c>
      <c r="AL6">
        <v>5</v>
      </c>
      <c r="AM6" t="s">
        <v>116</v>
      </c>
      <c r="AN6">
        <v>5</v>
      </c>
      <c r="AO6" t="s">
        <v>121</v>
      </c>
      <c r="AP6">
        <v>3</v>
      </c>
      <c r="AQ6" t="s">
        <v>120</v>
      </c>
      <c r="AR6">
        <v>6</v>
      </c>
      <c r="AS6" t="s">
        <v>121</v>
      </c>
      <c r="AT6">
        <v>3</v>
      </c>
      <c r="AU6" t="s">
        <v>116</v>
      </c>
      <c r="AV6">
        <v>5</v>
      </c>
      <c r="AW6" t="s">
        <v>116</v>
      </c>
      <c r="AX6">
        <v>5</v>
      </c>
      <c r="AY6" t="s">
        <v>121</v>
      </c>
      <c r="AZ6">
        <v>3</v>
      </c>
      <c r="BA6" t="s">
        <v>117</v>
      </c>
      <c r="BB6">
        <v>1</v>
      </c>
      <c r="BC6" t="s">
        <v>118</v>
      </c>
      <c r="BD6">
        <v>4</v>
      </c>
      <c r="BE6" t="s">
        <v>121</v>
      </c>
      <c r="BF6">
        <v>3</v>
      </c>
      <c r="BG6" t="s">
        <v>121</v>
      </c>
      <c r="BH6">
        <v>3</v>
      </c>
      <c r="BI6" t="s">
        <v>121</v>
      </c>
      <c r="BJ6">
        <v>3</v>
      </c>
      <c r="BK6" t="s">
        <v>116</v>
      </c>
      <c r="BL6">
        <v>5</v>
      </c>
      <c r="BM6" t="s">
        <v>117</v>
      </c>
      <c r="BN6">
        <v>1</v>
      </c>
    </row>
    <row r="7" spans="1:66" x14ac:dyDescent="0.25">
      <c r="A7">
        <v>6</v>
      </c>
      <c r="B7" s="1">
        <v>46002.603263888886</v>
      </c>
      <c r="C7" s="1">
        <v>46002.613298611112</v>
      </c>
      <c r="D7" t="s">
        <v>127</v>
      </c>
      <c r="E7" t="s">
        <v>118</v>
      </c>
      <c r="F7">
        <v>4</v>
      </c>
      <c r="G7" t="s">
        <v>116</v>
      </c>
      <c r="H7">
        <v>5</v>
      </c>
      <c r="I7" t="s">
        <v>121</v>
      </c>
      <c r="J7">
        <v>3</v>
      </c>
      <c r="K7" t="s">
        <v>116</v>
      </c>
      <c r="L7">
        <v>5</v>
      </c>
      <c r="M7" t="s">
        <v>120</v>
      </c>
      <c r="N7">
        <v>6</v>
      </c>
      <c r="O7" t="s">
        <v>120</v>
      </c>
      <c r="P7">
        <v>6</v>
      </c>
      <c r="Q7" t="s">
        <v>121</v>
      </c>
      <c r="R7">
        <v>3</v>
      </c>
      <c r="S7" t="s">
        <v>120</v>
      </c>
      <c r="T7">
        <v>6</v>
      </c>
      <c r="U7" t="s">
        <v>120</v>
      </c>
      <c r="V7">
        <v>6</v>
      </c>
      <c r="W7" t="s">
        <v>116</v>
      </c>
      <c r="X7">
        <v>5</v>
      </c>
      <c r="Y7" t="s">
        <v>116</v>
      </c>
      <c r="Z7">
        <v>5</v>
      </c>
      <c r="AA7" t="s">
        <v>116</v>
      </c>
      <c r="AB7">
        <v>5</v>
      </c>
      <c r="AC7" t="s">
        <v>116</v>
      </c>
      <c r="AD7">
        <v>5</v>
      </c>
      <c r="AE7" t="s">
        <v>120</v>
      </c>
      <c r="AF7">
        <v>6</v>
      </c>
      <c r="AG7" t="s">
        <v>118</v>
      </c>
      <c r="AH7">
        <v>4</v>
      </c>
      <c r="AI7" t="s">
        <v>116</v>
      </c>
      <c r="AJ7">
        <v>5</v>
      </c>
      <c r="AK7" t="s">
        <v>116</v>
      </c>
      <c r="AL7">
        <v>5</v>
      </c>
      <c r="AM7" t="s">
        <v>120</v>
      </c>
      <c r="AN7">
        <v>6</v>
      </c>
      <c r="AO7" t="s">
        <v>118</v>
      </c>
      <c r="AP7">
        <v>4</v>
      </c>
      <c r="AQ7" t="s">
        <v>120</v>
      </c>
      <c r="AR7">
        <v>6</v>
      </c>
      <c r="AS7" t="s">
        <v>118</v>
      </c>
      <c r="AT7">
        <v>4</v>
      </c>
      <c r="AU7" t="s">
        <v>116</v>
      </c>
      <c r="AV7">
        <v>5</v>
      </c>
      <c r="AW7" t="s">
        <v>118</v>
      </c>
      <c r="AX7">
        <v>4</v>
      </c>
      <c r="AY7" t="s">
        <v>118</v>
      </c>
      <c r="AZ7">
        <v>4</v>
      </c>
      <c r="BA7" t="s">
        <v>121</v>
      </c>
      <c r="BB7">
        <v>3</v>
      </c>
      <c r="BC7" t="s">
        <v>117</v>
      </c>
      <c r="BD7">
        <v>1</v>
      </c>
      <c r="BE7" t="s">
        <v>120</v>
      </c>
      <c r="BF7">
        <v>6</v>
      </c>
      <c r="BG7" t="s">
        <v>117</v>
      </c>
      <c r="BH7">
        <v>1</v>
      </c>
      <c r="BI7" t="s">
        <v>120</v>
      </c>
      <c r="BJ7">
        <v>6</v>
      </c>
      <c r="BK7" t="s">
        <v>122</v>
      </c>
      <c r="BL7">
        <v>7</v>
      </c>
      <c r="BM7" t="s">
        <v>122</v>
      </c>
      <c r="BN7">
        <v>7</v>
      </c>
    </row>
    <row r="8" spans="1:66" x14ac:dyDescent="0.25">
      <c r="A8">
        <v>7</v>
      </c>
      <c r="B8" s="1">
        <v>46002.655729166669</v>
      </c>
      <c r="C8" s="1">
        <v>46002.681006944447</v>
      </c>
      <c r="D8" t="s">
        <v>128</v>
      </c>
      <c r="E8" t="s">
        <v>121</v>
      </c>
      <c r="F8">
        <v>3</v>
      </c>
      <c r="G8" t="s">
        <v>120</v>
      </c>
      <c r="H8">
        <v>6</v>
      </c>
      <c r="I8" t="s">
        <v>118</v>
      </c>
      <c r="J8">
        <v>4</v>
      </c>
      <c r="K8" t="s">
        <v>116</v>
      </c>
      <c r="L8">
        <v>5</v>
      </c>
      <c r="M8" t="s">
        <v>122</v>
      </c>
      <c r="N8">
        <v>7</v>
      </c>
      <c r="O8" t="s">
        <v>122</v>
      </c>
      <c r="P8">
        <v>7</v>
      </c>
      <c r="Q8" t="s">
        <v>122</v>
      </c>
      <c r="R8">
        <v>7</v>
      </c>
      <c r="S8" t="s">
        <v>118</v>
      </c>
      <c r="T8">
        <v>4</v>
      </c>
      <c r="U8" t="s">
        <v>121</v>
      </c>
      <c r="V8">
        <v>3</v>
      </c>
      <c r="W8" t="s">
        <v>116</v>
      </c>
      <c r="X8">
        <v>5</v>
      </c>
      <c r="Y8" t="s">
        <v>120</v>
      </c>
      <c r="Z8">
        <v>6</v>
      </c>
      <c r="AA8" t="s">
        <v>120</v>
      </c>
      <c r="AB8">
        <v>6</v>
      </c>
      <c r="AC8" t="s">
        <v>120</v>
      </c>
      <c r="AD8">
        <v>6</v>
      </c>
      <c r="AE8" t="s">
        <v>120</v>
      </c>
      <c r="AF8">
        <v>6</v>
      </c>
      <c r="AG8" t="s">
        <v>122</v>
      </c>
      <c r="AH8">
        <v>7</v>
      </c>
      <c r="AI8" t="s">
        <v>119</v>
      </c>
      <c r="AJ8">
        <v>2</v>
      </c>
      <c r="AK8" t="s">
        <v>120</v>
      </c>
      <c r="AL8">
        <v>6</v>
      </c>
      <c r="AM8" t="s">
        <v>122</v>
      </c>
      <c r="AN8">
        <v>7</v>
      </c>
      <c r="AO8" t="s">
        <v>120</v>
      </c>
      <c r="AP8">
        <v>6</v>
      </c>
      <c r="AQ8" t="s">
        <v>120</v>
      </c>
      <c r="AR8">
        <v>6</v>
      </c>
      <c r="AS8" t="s">
        <v>122</v>
      </c>
      <c r="AT8">
        <v>7</v>
      </c>
      <c r="AU8" t="s">
        <v>121</v>
      </c>
      <c r="AV8">
        <v>3</v>
      </c>
      <c r="AW8" t="s">
        <v>116</v>
      </c>
      <c r="AX8">
        <v>5</v>
      </c>
      <c r="AY8" t="s">
        <v>120</v>
      </c>
      <c r="AZ8">
        <v>6</v>
      </c>
      <c r="BA8" t="s">
        <v>117</v>
      </c>
      <c r="BB8">
        <v>1</v>
      </c>
      <c r="BC8" t="s">
        <v>119</v>
      </c>
      <c r="BD8">
        <v>2</v>
      </c>
      <c r="BE8" t="s">
        <v>116</v>
      </c>
      <c r="BF8">
        <v>5</v>
      </c>
      <c r="BG8" t="s">
        <v>121</v>
      </c>
      <c r="BH8">
        <v>3</v>
      </c>
      <c r="BI8" t="s">
        <v>116</v>
      </c>
      <c r="BJ8">
        <v>5</v>
      </c>
      <c r="BK8" t="s">
        <v>117</v>
      </c>
      <c r="BL8">
        <v>1</v>
      </c>
      <c r="BM8" t="s">
        <v>119</v>
      </c>
      <c r="BN8">
        <v>2</v>
      </c>
    </row>
    <row r="9" spans="1:66" x14ac:dyDescent="0.25">
      <c r="A9">
        <v>8</v>
      </c>
      <c r="B9" s="1">
        <v>46002.756307870368</v>
      </c>
      <c r="C9" s="1">
        <v>46002.766736111109</v>
      </c>
      <c r="D9" t="s">
        <v>129</v>
      </c>
      <c r="E9" t="s">
        <v>122</v>
      </c>
      <c r="F9">
        <v>7</v>
      </c>
      <c r="G9" t="s">
        <v>117</v>
      </c>
      <c r="H9">
        <v>1</v>
      </c>
      <c r="I9" t="s">
        <v>122</v>
      </c>
      <c r="J9">
        <v>7</v>
      </c>
      <c r="K9" t="s">
        <v>117</v>
      </c>
      <c r="L9">
        <v>1</v>
      </c>
      <c r="M9" t="s">
        <v>120</v>
      </c>
      <c r="N9">
        <v>6</v>
      </c>
      <c r="O9" t="s">
        <v>120</v>
      </c>
      <c r="P9">
        <v>6</v>
      </c>
      <c r="Q9" t="s">
        <v>120</v>
      </c>
      <c r="R9">
        <v>6</v>
      </c>
      <c r="S9" t="s">
        <v>120</v>
      </c>
      <c r="T9">
        <v>6</v>
      </c>
      <c r="U9" t="s">
        <v>120</v>
      </c>
      <c r="V9">
        <v>6</v>
      </c>
      <c r="W9" t="s">
        <v>116</v>
      </c>
      <c r="X9">
        <v>5</v>
      </c>
      <c r="Y9" t="s">
        <v>122</v>
      </c>
      <c r="Z9">
        <v>7</v>
      </c>
      <c r="AA9" t="s">
        <v>120</v>
      </c>
      <c r="AB9">
        <v>6</v>
      </c>
      <c r="AC9" t="s">
        <v>120</v>
      </c>
      <c r="AD9">
        <v>6</v>
      </c>
      <c r="AE9" t="s">
        <v>118</v>
      </c>
      <c r="AF9">
        <v>4</v>
      </c>
      <c r="AG9" t="s">
        <v>117</v>
      </c>
      <c r="AH9">
        <v>1</v>
      </c>
      <c r="AI9" t="s">
        <v>116</v>
      </c>
      <c r="AJ9">
        <v>5</v>
      </c>
      <c r="AK9" t="s">
        <v>120</v>
      </c>
      <c r="AL9">
        <v>6</v>
      </c>
      <c r="AM9" t="s">
        <v>120</v>
      </c>
      <c r="AN9">
        <v>6</v>
      </c>
      <c r="AO9" t="s">
        <v>122</v>
      </c>
      <c r="AP9">
        <v>7</v>
      </c>
      <c r="AQ9" t="s">
        <v>122</v>
      </c>
      <c r="AR9">
        <v>7</v>
      </c>
      <c r="AS9" t="s">
        <v>116</v>
      </c>
      <c r="AT9">
        <v>5</v>
      </c>
      <c r="AU9" t="s">
        <v>120</v>
      </c>
      <c r="AV9">
        <v>6</v>
      </c>
      <c r="AW9" t="s">
        <v>122</v>
      </c>
      <c r="AX9">
        <v>7</v>
      </c>
      <c r="AY9" t="s">
        <v>122</v>
      </c>
      <c r="AZ9">
        <v>7</v>
      </c>
      <c r="BA9" t="s">
        <v>117</v>
      </c>
      <c r="BB9">
        <v>1</v>
      </c>
      <c r="BC9" t="s">
        <v>120</v>
      </c>
      <c r="BD9">
        <v>6</v>
      </c>
      <c r="BE9" t="s">
        <v>120</v>
      </c>
      <c r="BF9">
        <v>6</v>
      </c>
      <c r="BG9" t="s">
        <v>122</v>
      </c>
      <c r="BH9">
        <v>7</v>
      </c>
      <c r="BI9" t="s">
        <v>117</v>
      </c>
      <c r="BJ9">
        <v>1</v>
      </c>
      <c r="BK9" t="s">
        <v>119</v>
      </c>
      <c r="BL9">
        <v>2</v>
      </c>
      <c r="BM9" t="s">
        <v>117</v>
      </c>
      <c r="BN9">
        <v>1</v>
      </c>
    </row>
    <row r="10" spans="1:66" x14ac:dyDescent="0.25">
      <c r="A10">
        <v>9</v>
      </c>
      <c r="B10" s="1">
        <v>46003.445219907408</v>
      </c>
      <c r="C10" s="1">
        <v>46003.454155092593</v>
      </c>
      <c r="D10" t="s">
        <v>130</v>
      </c>
      <c r="E10" t="s">
        <v>120</v>
      </c>
      <c r="F10">
        <v>6</v>
      </c>
      <c r="G10" t="s">
        <v>119</v>
      </c>
      <c r="H10">
        <v>2</v>
      </c>
      <c r="I10" t="s">
        <v>120</v>
      </c>
      <c r="J10">
        <v>6</v>
      </c>
      <c r="K10" t="s">
        <v>117</v>
      </c>
      <c r="L10">
        <v>1</v>
      </c>
      <c r="M10" t="s">
        <v>116</v>
      </c>
      <c r="N10">
        <v>5</v>
      </c>
      <c r="O10" t="s">
        <v>116</v>
      </c>
      <c r="P10">
        <v>5</v>
      </c>
      <c r="Q10" t="s">
        <v>120</v>
      </c>
      <c r="R10">
        <v>6</v>
      </c>
      <c r="S10" t="s">
        <v>120</v>
      </c>
      <c r="T10">
        <v>6</v>
      </c>
      <c r="U10" t="s">
        <v>116</v>
      </c>
      <c r="V10">
        <v>5</v>
      </c>
      <c r="W10" t="s">
        <v>118</v>
      </c>
      <c r="X10">
        <v>4</v>
      </c>
      <c r="Y10" t="s">
        <v>116</v>
      </c>
      <c r="Z10">
        <v>5</v>
      </c>
      <c r="AA10" t="s">
        <v>116</v>
      </c>
      <c r="AB10">
        <v>5</v>
      </c>
      <c r="AC10" t="s">
        <v>118</v>
      </c>
      <c r="AD10">
        <v>4</v>
      </c>
      <c r="AE10" t="s">
        <v>116</v>
      </c>
      <c r="AF10">
        <v>5</v>
      </c>
      <c r="AG10" t="s">
        <v>118</v>
      </c>
      <c r="AH10">
        <v>4</v>
      </c>
      <c r="AI10" t="s">
        <v>118</v>
      </c>
      <c r="AJ10">
        <v>4</v>
      </c>
      <c r="AK10" t="s">
        <v>116</v>
      </c>
      <c r="AL10">
        <v>5</v>
      </c>
      <c r="AM10" t="s">
        <v>116</v>
      </c>
      <c r="AN10">
        <v>5</v>
      </c>
      <c r="AO10" t="s">
        <v>118</v>
      </c>
      <c r="AP10">
        <v>4</v>
      </c>
      <c r="AQ10" t="s">
        <v>120</v>
      </c>
      <c r="AR10">
        <v>6</v>
      </c>
      <c r="AS10" t="s">
        <v>120</v>
      </c>
      <c r="AT10">
        <v>6</v>
      </c>
      <c r="AU10" t="s">
        <v>118</v>
      </c>
      <c r="AV10">
        <v>4</v>
      </c>
      <c r="AW10" t="s">
        <v>116</v>
      </c>
      <c r="AX10">
        <v>5</v>
      </c>
      <c r="AY10" t="s">
        <v>120</v>
      </c>
      <c r="AZ10">
        <v>6</v>
      </c>
      <c r="BA10" t="s">
        <v>122</v>
      </c>
      <c r="BB10">
        <v>7</v>
      </c>
      <c r="BC10" t="s">
        <v>120</v>
      </c>
      <c r="BD10">
        <v>6</v>
      </c>
      <c r="BE10" t="s">
        <v>121</v>
      </c>
      <c r="BF10">
        <v>3</v>
      </c>
      <c r="BG10" t="s">
        <v>118</v>
      </c>
      <c r="BH10">
        <v>4</v>
      </c>
      <c r="BI10" t="s">
        <v>121</v>
      </c>
      <c r="BJ10">
        <v>3</v>
      </c>
      <c r="BK10" t="s">
        <v>116</v>
      </c>
      <c r="BL10">
        <v>5</v>
      </c>
      <c r="BM10" t="s">
        <v>119</v>
      </c>
      <c r="BN10">
        <v>2</v>
      </c>
    </row>
    <row r="11" spans="1:66" x14ac:dyDescent="0.25">
      <c r="A11">
        <v>10</v>
      </c>
      <c r="B11" s="1">
        <v>46003.728750000002</v>
      </c>
      <c r="C11" s="1">
        <v>46003.742731481485</v>
      </c>
      <c r="D11" t="s">
        <v>131</v>
      </c>
      <c r="E11" t="s">
        <v>120</v>
      </c>
      <c r="F11">
        <v>6</v>
      </c>
      <c r="G11" t="s">
        <v>119</v>
      </c>
      <c r="H11">
        <v>2</v>
      </c>
      <c r="I11" t="s">
        <v>120</v>
      </c>
      <c r="J11">
        <v>6</v>
      </c>
      <c r="K11" t="s">
        <v>119</v>
      </c>
      <c r="L11">
        <v>2</v>
      </c>
      <c r="M11" t="s">
        <v>120</v>
      </c>
      <c r="N11">
        <v>6</v>
      </c>
      <c r="O11" t="s">
        <v>120</v>
      </c>
      <c r="P11">
        <v>6</v>
      </c>
      <c r="Q11" t="s">
        <v>116</v>
      </c>
      <c r="R11">
        <v>5</v>
      </c>
      <c r="S11" t="s">
        <v>116</v>
      </c>
      <c r="T11">
        <v>5</v>
      </c>
      <c r="U11" t="s">
        <v>120</v>
      </c>
      <c r="V11">
        <v>6</v>
      </c>
      <c r="W11" t="s">
        <v>120</v>
      </c>
      <c r="X11">
        <v>6</v>
      </c>
      <c r="Y11" t="s">
        <v>116</v>
      </c>
      <c r="Z11">
        <v>5</v>
      </c>
      <c r="AA11" t="s">
        <v>122</v>
      </c>
      <c r="AB11">
        <v>7</v>
      </c>
      <c r="AC11" t="s">
        <v>122</v>
      </c>
      <c r="AD11">
        <v>7</v>
      </c>
      <c r="AE11" t="s">
        <v>120</v>
      </c>
      <c r="AF11">
        <v>6</v>
      </c>
      <c r="AG11" t="s">
        <v>119</v>
      </c>
      <c r="AH11">
        <v>2</v>
      </c>
      <c r="AI11" t="s">
        <v>118</v>
      </c>
      <c r="AJ11">
        <v>4</v>
      </c>
      <c r="AK11" t="s">
        <v>118</v>
      </c>
      <c r="AL11">
        <v>4</v>
      </c>
      <c r="AM11" t="s">
        <v>120</v>
      </c>
      <c r="AN11">
        <v>6</v>
      </c>
      <c r="AO11" t="s">
        <v>116</v>
      </c>
      <c r="AP11">
        <v>5</v>
      </c>
      <c r="AQ11" t="s">
        <v>122</v>
      </c>
      <c r="AR11">
        <v>7</v>
      </c>
      <c r="AS11" t="s">
        <v>122</v>
      </c>
      <c r="AT11">
        <v>7</v>
      </c>
      <c r="AU11" t="s">
        <v>116</v>
      </c>
      <c r="AV11">
        <v>5</v>
      </c>
      <c r="AW11" t="s">
        <v>116</v>
      </c>
      <c r="AX11">
        <v>5</v>
      </c>
      <c r="AY11" t="s">
        <v>120</v>
      </c>
      <c r="AZ11">
        <v>6</v>
      </c>
      <c r="BA11" t="s">
        <v>119</v>
      </c>
      <c r="BB11">
        <v>2</v>
      </c>
      <c r="BC11" t="s">
        <v>118</v>
      </c>
      <c r="BD11">
        <v>4</v>
      </c>
      <c r="BE11" t="s">
        <v>119</v>
      </c>
      <c r="BF11">
        <v>2</v>
      </c>
      <c r="BG11" t="s">
        <v>118</v>
      </c>
      <c r="BH11">
        <v>4</v>
      </c>
      <c r="BI11" t="s">
        <v>119</v>
      </c>
      <c r="BJ11">
        <v>2</v>
      </c>
      <c r="BK11" t="s">
        <v>116</v>
      </c>
      <c r="BL11">
        <v>5</v>
      </c>
      <c r="BM11" t="s">
        <v>116</v>
      </c>
      <c r="BN11">
        <v>5</v>
      </c>
    </row>
    <row r="12" spans="1:66" x14ac:dyDescent="0.25">
      <c r="A12">
        <v>11</v>
      </c>
      <c r="B12" s="1">
        <v>46003.780173611114</v>
      </c>
      <c r="C12" s="1">
        <v>46003.79178240741</v>
      </c>
      <c r="D12" t="s">
        <v>132</v>
      </c>
      <c r="E12" t="s">
        <v>118</v>
      </c>
      <c r="F12">
        <v>4</v>
      </c>
      <c r="G12" t="s">
        <v>118</v>
      </c>
      <c r="H12">
        <v>4</v>
      </c>
      <c r="I12" t="s">
        <v>121</v>
      </c>
      <c r="J12">
        <v>3</v>
      </c>
      <c r="K12" t="s">
        <v>116</v>
      </c>
      <c r="L12">
        <v>5</v>
      </c>
      <c r="M12" t="s">
        <v>120</v>
      </c>
      <c r="N12">
        <v>6</v>
      </c>
      <c r="O12" t="s">
        <v>122</v>
      </c>
      <c r="P12">
        <v>7</v>
      </c>
      <c r="Q12" t="s">
        <v>122</v>
      </c>
      <c r="R12">
        <v>7</v>
      </c>
      <c r="S12" t="s">
        <v>120</v>
      </c>
      <c r="T12">
        <v>6</v>
      </c>
      <c r="U12" t="s">
        <v>121</v>
      </c>
      <c r="V12">
        <v>3</v>
      </c>
      <c r="W12" t="s">
        <v>119</v>
      </c>
      <c r="X12">
        <v>2</v>
      </c>
      <c r="Y12" t="s">
        <v>118</v>
      </c>
      <c r="Z12">
        <v>4</v>
      </c>
      <c r="AA12" t="s">
        <v>116</v>
      </c>
      <c r="AB12">
        <v>5</v>
      </c>
      <c r="AC12" t="s">
        <v>122</v>
      </c>
      <c r="AD12">
        <v>7</v>
      </c>
      <c r="AE12" t="s">
        <v>121</v>
      </c>
      <c r="AF12">
        <v>3</v>
      </c>
      <c r="AG12" t="s">
        <v>116</v>
      </c>
      <c r="AH12">
        <v>5</v>
      </c>
      <c r="AI12" t="s">
        <v>121</v>
      </c>
      <c r="AJ12">
        <v>3</v>
      </c>
      <c r="AK12" t="s">
        <v>116</v>
      </c>
      <c r="AL12">
        <v>5</v>
      </c>
      <c r="AM12" t="s">
        <v>122</v>
      </c>
      <c r="AN12">
        <v>7</v>
      </c>
      <c r="AO12" t="s">
        <v>122</v>
      </c>
      <c r="AP12">
        <v>7</v>
      </c>
      <c r="AQ12" t="s">
        <v>122</v>
      </c>
      <c r="AR12">
        <v>7</v>
      </c>
      <c r="AS12" t="s">
        <v>122</v>
      </c>
      <c r="AT12">
        <v>7</v>
      </c>
      <c r="AU12" t="s">
        <v>122</v>
      </c>
      <c r="AV12">
        <v>7</v>
      </c>
      <c r="AW12" t="s">
        <v>120</v>
      </c>
      <c r="AX12">
        <v>6</v>
      </c>
      <c r="AY12" t="s">
        <v>122</v>
      </c>
      <c r="AZ12">
        <v>7</v>
      </c>
      <c r="BA12" t="s">
        <v>116</v>
      </c>
      <c r="BB12">
        <v>5</v>
      </c>
      <c r="BC12" t="s">
        <v>118</v>
      </c>
      <c r="BD12">
        <v>4</v>
      </c>
      <c r="BE12" t="s">
        <v>116</v>
      </c>
      <c r="BF12">
        <v>5</v>
      </c>
      <c r="BG12" t="s">
        <v>118</v>
      </c>
      <c r="BH12">
        <v>4</v>
      </c>
      <c r="BI12" t="s">
        <v>118</v>
      </c>
      <c r="BJ12">
        <v>4</v>
      </c>
      <c r="BK12" t="s">
        <v>116</v>
      </c>
      <c r="BL12">
        <v>5</v>
      </c>
      <c r="BM12" t="s">
        <v>116</v>
      </c>
      <c r="BN12">
        <v>5</v>
      </c>
    </row>
    <row r="13" spans="1:66" x14ac:dyDescent="0.25">
      <c r="A13">
        <v>12</v>
      </c>
      <c r="B13" s="1">
        <v>46003.90662037037</v>
      </c>
      <c r="C13" s="1">
        <v>46003.93041666667</v>
      </c>
      <c r="D13" t="s">
        <v>133</v>
      </c>
      <c r="E13" t="s">
        <v>120</v>
      </c>
      <c r="F13">
        <v>6</v>
      </c>
      <c r="G13" t="s">
        <v>117</v>
      </c>
      <c r="H13">
        <v>1</v>
      </c>
      <c r="I13" t="s">
        <v>116</v>
      </c>
      <c r="J13">
        <v>5</v>
      </c>
      <c r="K13" t="s">
        <v>117</v>
      </c>
      <c r="L13">
        <v>1</v>
      </c>
      <c r="M13" t="s">
        <v>116</v>
      </c>
      <c r="N13">
        <v>5</v>
      </c>
      <c r="O13" t="s">
        <v>118</v>
      </c>
      <c r="P13">
        <v>4</v>
      </c>
      <c r="Q13" t="s">
        <v>116</v>
      </c>
      <c r="R13">
        <v>5</v>
      </c>
      <c r="S13" t="s">
        <v>119</v>
      </c>
      <c r="T13">
        <v>2</v>
      </c>
      <c r="U13" t="s">
        <v>116</v>
      </c>
      <c r="V13">
        <v>5</v>
      </c>
      <c r="W13" t="s">
        <v>121</v>
      </c>
      <c r="X13">
        <v>3</v>
      </c>
      <c r="Y13" t="s">
        <v>120</v>
      </c>
      <c r="Z13">
        <v>6</v>
      </c>
      <c r="AA13" t="s">
        <v>120</v>
      </c>
      <c r="AB13">
        <v>6</v>
      </c>
      <c r="AC13" t="s">
        <v>120</v>
      </c>
      <c r="AD13">
        <v>6</v>
      </c>
      <c r="AE13" t="s">
        <v>120</v>
      </c>
      <c r="AF13">
        <v>6</v>
      </c>
      <c r="AG13" t="s">
        <v>119</v>
      </c>
      <c r="AH13">
        <v>2</v>
      </c>
      <c r="AI13" t="s">
        <v>117</v>
      </c>
      <c r="AJ13">
        <v>1</v>
      </c>
      <c r="AK13" t="s">
        <v>117</v>
      </c>
      <c r="AL13">
        <v>1</v>
      </c>
      <c r="AM13" t="s">
        <v>120</v>
      </c>
      <c r="AN13">
        <v>6</v>
      </c>
      <c r="AO13" t="s">
        <v>120</v>
      </c>
      <c r="AP13">
        <v>6</v>
      </c>
      <c r="AQ13" t="s">
        <v>122</v>
      </c>
      <c r="AR13">
        <v>7</v>
      </c>
      <c r="AS13" t="s">
        <v>120</v>
      </c>
      <c r="AT13">
        <v>6</v>
      </c>
      <c r="AU13" t="s">
        <v>120</v>
      </c>
      <c r="AV13">
        <v>6</v>
      </c>
      <c r="AW13" t="s">
        <v>118</v>
      </c>
      <c r="AX13">
        <v>4</v>
      </c>
      <c r="AY13" t="s">
        <v>122</v>
      </c>
      <c r="AZ13">
        <v>7</v>
      </c>
      <c r="BA13" t="s">
        <v>117</v>
      </c>
      <c r="BB13">
        <v>1</v>
      </c>
      <c r="BC13" t="s">
        <v>118</v>
      </c>
      <c r="BD13">
        <v>4</v>
      </c>
      <c r="BE13" t="s">
        <v>117</v>
      </c>
      <c r="BF13">
        <v>1</v>
      </c>
      <c r="BG13" t="s">
        <v>118</v>
      </c>
      <c r="BH13">
        <v>4</v>
      </c>
      <c r="BI13" t="s">
        <v>118</v>
      </c>
      <c r="BJ13">
        <v>4</v>
      </c>
      <c r="BK13" t="s">
        <v>120</v>
      </c>
      <c r="BL13">
        <v>6</v>
      </c>
      <c r="BM13" t="s">
        <v>120</v>
      </c>
      <c r="BN13">
        <v>6</v>
      </c>
    </row>
    <row r="14" spans="1:66" x14ac:dyDescent="0.25">
      <c r="A14">
        <v>13</v>
      </c>
      <c r="B14" s="1">
        <v>46003.947777777779</v>
      </c>
      <c r="C14" s="1">
        <v>46003.954224537039</v>
      </c>
      <c r="D14" t="s">
        <v>134</v>
      </c>
      <c r="E14" t="s">
        <v>118</v>
      </c>
      <c r="F14">
        <v>4</v>
      </c>
      <c r="G14" t="s">
        <v>119</v>
      </c>
      <c r="H14">
        <v>2</v>
      </c>
      <c r="I14" t="s">
        <v>118</v>
      </c>
      <c r="J14">
        <v>4</v>
      </c>
      <c r="K14" t="s">
        <v>116</v>
      </c>
      <c r="L14">
        <v>5</v>
      </c>
      <c r="M14" t="s">
        <v>118</v>
      </c>
      <c r="N14">
        <v>4</v>
      </c>
      <c r="O14" t="s">
        <v>120</v>
      </c>
      <c r="P14">
        <v>6</v>
      </c>
      <c r="Q14" t="s">
        <v>120</v>
      </c>
      <c r="R14">
        <v>6</v>
      </c>
      <c r="S14" t="s">
        <v>120</v>
      </c>
      <c r="T14">
        <v>6</v>
      </c>
      <c r="U14" t="s">
        <v>122</v>
      </c>
      <c r="V14">
        <v>7</v>
      </c>
      <c r="W14" t="s">
        <v>116</v>
      </c>
      <c r="X14">
        <v>5</v>
      </c>
      <c r="Y14" t="s">
        <v>120</v>
      </c>
      <c r="Z14">
        <v>6</v>
      </c>
      <c r="AA14" t="s">
        <v>116</v>
      </c>
      <c r="AB14">
        <v>5</v>
      </c>
      <c r="AC14" t="s">
        <v>122</v>
      </c>
      <c r="AD14">
        <v>7</v>
      </c>
      <c r="AE14" t="s">
        <v>118</v>
      </c>
      <c r="AF14">
        <v>4</v>
      </c>
      <c r="AG14" t="s">
        <v>120</v>
      </c>
      <c r="AH14">
        <v>6</v>
      </c>
      <c r="AI14" t="s">
        <v>121</v>
      </c>
      <c r="AJ14">
        <v>3</v>
      </c>
      <c r="AK14" t="s">
        <v>120</v>
      </c>
      <c r="AL14">
        <v>6</v>
      </c>
      <c r="AM14" t="s">
        <v>116</v>
      </c>
      <c r="AN14">
        <v>5</v>
      </c>
      <c r="AO14" t="s">
        <v>121</v>
      </c>
      <c r="AP14">
        <v>3</v>
      </c>
      <c r="AQ14" t="s">
        <v>120</v>
      </c>
      <c r="AR14">
        <v>6</v>
      </c>
      <c r="AS14" t="s">
        <v>120</v>
      </c>
      <c r="AT14">
        <v>6</v>
      </c>
      <c r="AU14" t="s">
        <v>116</v>
      </c>
      <c r="AV14">
        <v>5</v>
      </c>
      <c r="AW14" t="s">
        <v>120</v>
      </c>
      <c r="AX14">
        <v>6</v>
      </c>
      <c r="AY14" t="s">
        <v>121</v>
      </c>
      <c r="AZ14">
        <v>3</v>
      </c>
      <c r="BA14" t="s">
        <v>118</v>
      </c>
      <c r="BB14">
        <v>4</v>
      </c>
      <c r="BC14" t="s">
        <v>118</v>
      </c>
      <c r="BD14">
        <v>4</v>
      </c>
      <c r="BE14" t="s">
        <v>121</v>
      </c>
      <c r="BF14">
        <v>3</v>
      </c>
      <c r="BG14" t="s">
        <v>118</v>
      </c>
      <c r="BH14">
        <v>4</v>
      </c>
      <c r="BI14" t="s">
        <v>116</v>
      </c>
      <c r="BJ14">
        <v>5</v>
      </c>
      <c r="BK14" t="s">
        <v>116</v>
      </c>
      <c r="BL14">
        <v>5</v>
      </c>
      <c r="BM14" t="s">
        <v>116</v>
      </c>
      <c r="BN14">
        <v>5</v>
      </c>
    </row>
    <row r="16" spans="1:66" x14ac:dyDescent="0.25">
      <c r="B16" s="3">
        <f>C2-B2</f>
        <v>3.0752314814890269E-2</v>
      </c>
    </row>
    <row r="17" spans="2:4" x14ac:dyDescent="0.25">
      <c r="B17" s="3">
        <f t="shared" ref="B17:B29" si="0">C3-B3</f>
        <v>1.2557870373711921E-2</v>
      </c>
      <c r="D17" s="3">
        <f>AVERAGE(B16:B28)</f>
        <v>1.4620726497154325E-2</v>
      </c>
    </row>
    <row r="18" spans="2:4" x14ac:dyDescent="0.25">
      <c r="B18" s="3">
        <f t="shared" si="0"/>
        <v>1.131944444932742E-2</v>
      </c>
    </row>
    <row r="19" spans="2:4" x14ac:dyDescent="0.25">
      <c r="B19" s="3">
        <f t="shared" si="0"/>
        <v>1.1840277780720498E-2</v>
      </c>
    </row>
    <row r="20" spans="2:4" x14ac:dyDescent="0.25">
      <c r="B20" s="3">
        <f t="shared" si="0"/>
        <v>1.3090277774608694E-2</v>
      </c>
    </row>
    <row r="21" spans="2:4" x14ac:dyDescent="0.25">
      <c r="B21" s="3">
        <f t="shared" si="0"/>
        <v>1.0034722225100268E-2</v>
      </c>
    </row>
    <row r="22" spans="2:4" x14ac:dyDescent="0.25">
      <c r="B22" s="3">
        <f t="shared" si="0"/>
        <v>2.527777777868323E-2</v>
      </c>
    </row>
    <row r="23" spans="2:4" x14ac:dyDescent="0.25">
      <c r="B23" s="3">
        <f t="shared" si="0"/>
        <v>1.0428240741021E-2</v>
      </c>
    </row>
    <row r="24" spans="2:4" x14ac:dyDescent="0.25">
      <c r="B24" s="3">
        <f t="shared" si="0"/>
        <v>8.9351851856918074E-3</v>
      </c>
    </row>
    <row r="25" spans="2:4" x14ac:dyDescent="0.25">
      <c r="B25" s="3">
        <f t="shared" si="0"/>
        <v>1.3981481482915115E-2</v>
      </c>
    </row>
    <row r="26" spans="2:4" x14ac:dyDescent="0.25">
      <c r="B26" s="3">
        <f t="shared" si="0"/>
        <v>1.1608796296059154E-2</v>
      </c>
    </row>
    <row r="27" spans="2:4" x14ac:dyDescent="0.25">
      <c r="B27" s="3">
        <f t="shared" si="0"/>
        <v>2.379629630013369E-2</v>
      </c>
    </row>
    <row r="28" spans="2:4" x14ac:dyDescent="0.25">
      <c r="B28" s="3">
        <f t="shared" si="0"/>
        <v>6.4467592601431534E-3</v>
      </c>
    </row>
    <row r="29" spans="2:4" x14ac:dyDescent="0.25">
      <c r="B29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9F5AA1-842D-4FCC-8701-FB2DDC3926F1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OfficeForms Table</vt:lpstr>
      <vt:lpstr>OfficeForms Table Clean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Manel Siza Vieira</dc:creator>
  <cp:keywords/>
  <dc:description/>
  <cp:lastModifiedBy>Manuel Correia Martins Siza Vieira</cp:lastModifiedBy>
  <cp:revision/>
  <dcterms:created xsi:type="dcterms:W3CDTF">2025-12-16T00:40:13Z</dcterms:created>
  <dcterms:modified xsi:type="dcterms:W3CDTF">2025-12-18T04:41:02Z</dcterms:modified>
  <cp:category/>
  <cp:contentStatus/>
</cp:coreProperties>
</file>